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1D763546-4FE0-504C-A339-E25BDCAFD7F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00_Read_Me" sheetId="1" r:id="rId1"/>
    <sheet name="01_Overview" sheetId="2" r:id="rId2"/>
    <sheet name="02_Lists" sheetId="3" r:id="rId3"/>
    <sheet name="03_Fields" sheetId="4" r:id="rId4"/>
    <sheet name="04_Config_Seeds" sheetId="5" r:id="rId5"/>
    <sheet name="05_Views" sheetId="6" r:id="rId6"/>
    <sheet name="06_Unique_Keys" sheetId="7" r:id="rId7"/>
    <sheet name="07_List_Settings" sheetId="8" r:id="rId8"/>
    <sheet name="08_Workflow" sheetId="9" r:id="rId9"/>
    <sheet name="09_REST_Parameters" sheetId="10" r:id="rId10"/>
    <sheet name="10_Status_Logging" sheetId="11" r:id="rId11"/>
    <sheet name="11_Final_Report" sheetId="12" r:id="rId12"/>
    <sheet name="12_Risks_Controls" sheetId="13" r:id="rId13"/>
    <sheet name="13_Connections" sheetId="14" r:id="rId14"/>
  </sheets>
  <calcPr calcId="19102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E10" i="2"/>
  <c r="C9" i="2"/>
  <c r="D9" i="2"/>
  <c r="E9" i="2"/>
  <c r="C8" i="2"/>
  <c r="D8" i="2"/>
  <c r="E8" i="2"/>
  <c r="C7" i="2"/>
  <c r="D7" i="2"/>
  <c r="E7" i="2"/>
  <c r="C6" i="2"/>
  <c r="D6" i="2"/>
  <c r="E6" i="2"/>
  <c r="C5" i="2"/>
  <c r="D5" i="2"/>
  <c r="E5" i="2"/>
</calcChain>
</file>

<file path=xl/sharedStrings.xml><?xml version="1.0" encoding="utf-8"?>
<sst xmlns="http://schemas.openxmlformats.org/spreadsheetml/2006/main" count="2206" uniqueCount="744">
  <si>
    <t>DGO HTTP Flow Registry | Full Documentation</t>
  </si>
  <si>
    <t>Design-time inventory reconstructed from the supplied Power Automate serialized scope. Actual run outcomes require run-history outputs.</t>
  </si>
  <si>
    <t>Document purpose</t>
  </si>
  <si>
    <t>Complete Excel documentation of the seven SharePoint lists, 101 custom fields, list settings, seeds, views, unique keys, workflow actions, REST parameters, validation, reporting, and known execution-state limitations.</t>
  </si>
  <si>
    <t>Target site</t>
  </si>
  <si>
    <t>https://nitdanigeria.sharepoint.com/sites/DGO_ECM_GOVERNANCE</t>
  </si>
  <si>
    <t>Scope node</t>
  </si>
  <si>
    <t>Scope_01_GOV_Provision_HTTP_Flow_Registry_COMPLETE_UPDATED</t>
  </si>
  <si>
    <t>Report schema version</t>
  </si>
  <si>
    <t>5.0.0</t>
  </si>
  <si>
    <t>Expected resources</t>
  </si>
  <si>
    <t>7 lists; 101 custom fields; 7 unique keys; 12 enabled seeds; 7 custom views</t>
  </si>
  <si>
    <t>Execution status</t>
  </si>
  <si>
    <t>Not determinable from the design-time definition. “Defined” means intended/configured in the flow, not proven created. Use the final report JSON or Power Automate run history to populate actual Succeeded, Failed, Skipped, or TimedOut outcomes.</t>
  </si>
  <si>
    <t>Workbook navigation</t>
  </si>
  <si>
    <t>01_Overview summarizes controls; 02_Lists documents lists; 03_Fields contains all 101 fields and schema XML; subsequent sheets cover settings, seeds, views, workflow, REST requests, reporting, and risks.</t>
  </si>
  <si>
    <t>Security note</t>
  </si>
  <si>
    <t>The source definition contains tenant site and connection identifiers. This workbook records functional connection references but does not include credentials or secret values.</t>
  </si>
  <si>
    <t>Provisioning Overview</t>
  </si>
  <si>
    <t>Expected design-time counts, controls, and workbook cross-checks.</t>
  </si>
  <si>
    <t>Metric</t>
  </si>
  <si>
    <t>Expected</t>
  </si>
  <si>
    <t>Documented</t>
  </si>
  <si>
    <t>Variance</t>
  </si>
  <si>
    <t>Pass?</t>
  </si>
  <si>
    <t>Interpretation</t>
  </si>
  <si>
    <t>Source area</t>
  </si>
  <si>
    <t>Lists</t>
  </si>
  <si>
    <t>Required SharePoint lists</t>
  </si>
  <si>
    <t>Compose_List_Definitions</t>
  </si>
  <si>
    <t>Custom fields</t>
  </si>
  <si>
    <t>Custom fields across all lists</t>
  </si>
  <si>
    <t>Compose_Field_Definitions</t>
  </si>
  <si>
    <t>Unique keys</t>
  </si>
  <si>
    <t>Indexed and unique key fields</t>
  </si>
  <si>
    <t>Compose_Unique_Key_Definitions</t>
  </si>
  <si>
    <t>Configuration seeds</t>
  </si>
  <si>
    <t>Enabled initial settings</t>
  </si>
  <si>
    <t>Compose_Config_Seeds</t>
  </si>
  <si>
    <t>Custom views</t>
  </si>
  <si>
    <t>Governance views</t>
  </si>
  <si>
    <t>Compose_View_Definitions</t>
  </si>
  <si>
    <t>Configured list settings</t>
  </si>
  <si>
    <t>Expected settings template coverage</t>
  </si>
  <si>
    <t>Configure_List</t>
  </si>
  <si>
    <t>SharePoint List Catalogue</t>
  </si>
  <si>
    <t>All seven lists and common provisioning properties.</t>
  </si>
  <si>
    <t>List title</t>
  </si>
  <si>
    <t>Description</t>
  </si>
  <si>
    <t>Base template</t>
  </si>
  <si>
    <t>Custom field count</t>
  </si>
  <si>
    <t>Unique key</t>
  </si>
  <si>
    <t>Attachments enabled</t>
  </si>
  <si>
    <t>Folder creation enabled</t>
  </si>
  <si>
    <t>Versioning enabled</t>
  </si>
  <si>
    <t>Major version limit</t>
  </si>
  <si>
    <t>Force checkout</t>
  </si>
  <si>
    <t>Title required</t>
  </si>
  <si>
    <t>Execution evidence</t>
  </si>
  <si>
    <t>DGO_HTTPFlowRegistry</t>
  </si>
  <si>
    <t>Current authoritative HTTP flow truth</t>
  </si>
  <si>
    <t>RegistryKey</t>
  </si>
  <si>
    <t>4 custom views</t>
  </si>
  <si>
    <t>No</t>
  </si>
  <si>
    <t>Yes</t>
  </si>
  <si>
    <t>Defined; actual run status unavailable</t>
  </si>
  <si>
    <t>DGO_HTTPFlowContractVersions</t>
  </si>
  <si>
    <t>Immutable contracts</t>
  </si>
  <si>
    <t>ContractKey</t>
  </si>
  <si>
    <t>No custom view</t>
  </si>
  <si>
    <t>DGO_HTTPFlowExecutionLedger</t>
  </si>
  <si>
    <t>Execution ledger</t>
  </si>
  <si>
    <t>ExecutionKey</t>
  </si>
  <si>
    <t>Recent Failures</t>
  </si>
  <si>
    <t>DGO_HTTPFlowDependencies</t>
  </si>
  <si>
    <t>Flow dependencies</t>
  </si>
  <si>
    <t>DependencyKey</t>
  </si>
  <si>
    <t>DGO_HTTPFlowRegistryExceptions</t>
  </si>
  <si>
    <t>Governance exceptions</t>
  </si>
  <si>
    <t>ExceptionKey</t>
  </si>
  <si>
    <t>Open Exceptions</t>
  </si>
  <si>
    <t>DGO_HTTPFlowRegistryConfiguration</t>
  </si>
  <si>
    <t>Registry configuration</t>
  </si>
  <si>
    <t>ConfigKey</t>
  </si>
  <si>
    <t>DGO_HTTPFlowConsumerRegistry</t>
  </si>
  <si>
    <t>Consumer registry</t>
  </si>
  <si>
    <t>ConsumerKey</t>
  </si>
  <si>
    <t>Unapproved Consumers</t>
  </si>
  <si>
    <t>Complete Field Dictionary</t>
  </si>
  <si>
    <t>All 101 custom fields. Schema XML is reconstructed directly from the supplied field definitions.</t>
  </si>
  <si>
    <t>#</t>
  </si>
  <si>
    <t>List</t>
  </si>
  <si>
    <t>Internal name</t>
  </si>
  <si>
    <t>Display name</t>
  </si>
  <si>
    <t>Expected TypeAsString</t>
  </si>
  <si>
    <t>Required</t>
  </si>
  <si>
    <t>Indexed</t>
  </si>
  <si>
    <t>Unique</t>
  </si>
  <si>
    <t>Type parameters</t>
  </si>
  <si>
    <t>Purpose / information</t>
  </si>
  <si>
    <t>Field group</t>
  </si>
  <si>
    <t>Schema XML</t>
  </si>
  <si>
    <t>Text</t>
  </si>
  <si>
    <t>MaxLength=255</t>
  </si>
  <si>
    <t>Primary generated/composite registry identifier</t>
  </si>
  <si>
    <t>DGO HTTP Flow Governance</t>
  </si>
  <si>
    <t>&lt;Field Type='Text' DisplayName='RegistryKey' Name='RegistryKey' StaticName='RegistryKey' Required='TRUE' MaxLength='255' Indexed='TRUE' EnforceUniqueValues='TRUE' Group='DGO HTTP Flow Governance' /&gt;</t>
  </si>
  <si>
    <t>Defined; validation outcome requires run history</t>
  </si>
  <si>
    <t>FlowId</t>
  </si>
  <si>
    <t>Power Automate flow identifier</t>
  </si>
  <si>
    <t>&lt;Field Type='Text' DisplayName='FlowId' Name='FlowId' StaticName='FlowId' Required='TRUE' MaxLength='255' Indexed='TRUE' Group='DGO HTTP Flow Governance' /&gt;</t>
  </si>
  <si>
    <t>EnvironmentId</t>
  </si>
  <si>
    <t>Environment identifier</t>
  </si>
  <si>
    <t>&lt;Field Type='Text' DisplayName='EnvironmentId' Name='EnvironmentId' StaticName='EnvironmentId' Required='TRUE' MaxLength='255' Indexed='TRUE' Group='DGO HTTP Flow Governance' /&gt;</t>
  </si>
  <si>
    <t>EnvironmentName</t>
  </si>
  <si>
    <t>Human-readable environment name</t>
  </si>
  <si>
    <t>&lt;Field Type='Text' DisplayName='EnvironmentName' Name='EnvironmentName' StaticName='EnvironmentName' Required='FALSE' MaxLength='255' Group='DGO HTTP Flow Governance' /&gt;</t>
  </si>
  <si>
    <t>FlowName</t>
  </si>
  <si>
    <t>Flow display name</t>
  </si>
  <si>
    <t>&lt;Field Type='Text' DisplayName='FlowName' Name='FlowName' StaticName='FlowName' Required='TRUE' MaxLength='255' Indexed='TRUE' Group='DGO HTTP Flow Governance' /&gt;</t>
  </si>
  <si>
    <t>SystemName</t>
  </si>
  <si>
    <t>Associated business or technical system</t>
  </si>
  <si>
    <t>&lt;Field Type='Text' DisplayName='SystemName' Name='SystemName' StaticName='SystemName' Required='TRUE' MaxLength='255' Indexed='TRUE' Group='DGO HTTP Flow Governance' /&gt;</t>
  </si>
  <si>
    <t>BusinessProcess</t>
  </si>
  <si>
    <t>Note</t>
  </si>
  <si>
    <t>NumLines=10; RichText=FALSE; AppendOnly=FALSE</t>
  </si>
  <si>
    <t>Supported business process</t>
  </si>
  <si>
    <t>&lt;Field Type='Note' DisplayName='BusinessProcess' Name='BusinessProcess' StaticName='BusinessProcess' Required='FALSE' NumLines='10' RichText='FALSE' AppendOnly='FALSE' Group='DGO HTTP Flow Governance' /&gt;</t>
  </si>
  <si>
    <t>FlowDescription</t>
  </si>
  <si>
    <t>Functional or technical description</t>
  </si>
  <si>
    <t>&lt;Field Type='Note' DisplayName='FlowDescription' Name='FlowDescription' StaticName='FlowDescription' Required='FALSE' NumLines='10' RichText='FALSE' AppendOnly='FALSE' Group='DGO HTTP Flow Governance' /&gt;</t>
  </si>
  <si>
    <t>TechnicalOwnerEmail</t>
  </si>
  <si>
    <t>Technical owner email</t>
  </si>
  <si>
    <t>&lt;Field Type='Text' DisplayName='TechnicalOwnerEmail' Name='TechnicalOwnerEmail' StaticName='TechnicalOwnerEmail' Required='TRUE' MaxLength='255' Indexed='TRUE' Group='DGO HTTP Flow Governance' /&gt;</t>
  </si>
  <si>
    <t>BusinessOwnerEmail</t>
  </si>
  <si>
    <t>Business owner email</t>
  </si>
  <si>
    <t>&lt;Field Type='Text' DisplayName='BusinessOwnerEmail' Name='BusinessOwnerEmail' StaticName='BusinessOwnerEmail' Required='FALSE' MaxLength='255' Group='DGO HTTP Flow Governance' /&gt;</t>
  </si>
  <si>
    <t>SupportEmail</t>
  </si>
  <si>
    <t>Support mailbox</t>
  </si>
  <si>
    <t>&lt;Field Type='Text' DisplayName='SupportEmail' Name='SupportEmail' StaticName='SupportEmail' Required='FALSE' MaxLength='255' Group='DGO HTTP Flow Governance' /&gt;</t>
  </si>
  <si>
    <t>HttpMethod</t>
  </si>
  <si>
    <t>HTTP method</t>
  </si>
  <si>
    <t>&lt;Field Type='Text' DisplayName='HttpMethod' Name='HttpMethod' StaticName='HttpMethod' Required='TRUE' MaxLength='255' Group='DGO HTTP Flow Governance' /&gt;</t>
  </si>
  <si>
    <t>EndpointRedacted</t>
  </si>
  <si>
    <t>Sanitized endpoint</t>
  </si>
  <si>
    <t>&lt;Field Type='Note' DisplayName='EndpointRedacted' Name='EndpointRedacted' StaticName='EndpointRedacted' Required='FALSE' NumLines='10' RichText='FALSE' AppendOnly='FALSE' Group='DGO HTTP Flow Governance' /&gt;</t>
  </si>
  <si>
    <t>EndpointFingerprint</t>
  </si>
  <si>
    <t>Stable endpoint fingerprint/hash</t>
  </si>
  <si>
    <t>&lt;Field Type='Text' DisplayName='EndpointFingerprint' Name='EndpointFingerprint' StaticName='EndpointFingerprint' Required='FALSE' MaxLength='255' Indexed='TRUE' Group='DGO HTTP Flow Governance' /&gt;</t>
  </si>
  <si>
    <t>AuthenticationMode</t>
  </si>
  <si>
    <t>Authentication arrangement</t>
  </si>
  <si>
    <t>&lt;Field Type='Text' DisplayName='AuthenticationMode' Name='AuthenticationMode' StaticName='AuthenticationMode' Required='TRUE' MaxLength='255' Group='DGO HTTP Flow Governance' /&gt;</t>
  </si>
  <si>
    <t>DataClassification</t>
  </si>
  <si>
    <t>Information classification</t>
  </si>
  <si>
    <t>&lt;Field Type='Text' DisplayName='DataClassification' Name='DataClassification' StaticName='DataClassification' Required='TRUE' MaxLength='255' Group='DGO HTTP Flow Governance' /&gt;</t>
  </si>
  <si>
    <t>Criticality</t>
  </si>
  <si>
    <t>Business/technical criticality</t>
  </si>
  <si>
    <t>&lt;Field Type='Text' DisplayName='Criticality' Name='Criticality' StaticName='Criticality' Required='TRUE' MaxLength='255' Indexed='TRUE' Group='DGO HTTP Flow Governance' /&gt;</t>
  </si>
  <si>
    <t>LifecycleStatus</t>
  </si>
  <si>
    <t>Lifecycle state</t>
  </si>
  <si>
    <t>&lt;Field Type='Text' DisplayName='LifecycleStatus' Name='LifecycleStatus' StaticName='LifecycleStatus' Required='TRUE' MaxLength='255' Indexed='TRUE' Group='DGO HTTP Flow Governance' /&gt;</t>
  </si>
  <si>
    <t>DefinitionVersion</t>
  </si>
  <si>
    <t>Current definition version</t>
  </si>
  <si>
    <t>&lt;Field Type='Text' DisplayName='DefinitionVersion' Name='DefinitionVersion' StaticName='DefinitionVersion' Required='TRUE' MaxLength='255' Group='DGO HTTP Flow Governance' /&gt;</t>
  </si>
  <si>
    <t>DefinitionFingerprint</t>
  </si>
  <si>
    <t>Definition hash</t>
  </si>
  <si>
    <t>&lt;Field Type='Text' DisplayName='DefinitionFingerprint' Name='DefinitionFingerprint' StaticName='DefinitionFingerprint' Required='FALSE' MaxLength='255' Indexed='TRUE' Group='DGO HTTP Flow Governance' /&gt;</t>
  </si>
  <si>
    <t>RequestSchemaJson</t>
  </si>
  <si>
    <t>Request schema JSON</t>
  </si>
  <si>
    <t>&lt;Field Type='Note' DisplayName='RequestSchemaJson' Name='RequestSchemaJson' StaticName='RequestSchemaJson' Required='FALSE' NumLines='10' RichText='FALSE' AppendOnly='FALSE' Group='DGO HTTP Flow Governance' /&gt;</t>
  </si>
  <si>
    <t>ResponseContractJson</t>
  </si>
  <si>
    <t>Response contract JSON</t>
  </si>
  <si>
    <t>&lt;Field Type='Note' DisplayName='ResponseContractJson' Name='ResponseContractJson' StaticName='ResponseContractJson' Required='FALSE' NumLines='10' RichText='FALSE' AppendOnly='FALSE' Group='DGO HTTP Flow Governance' /&gt;</t>
  </si>
  <si>
    <t>LastRegisteredUtc</t>
  </si>
  <si>
    <t>DateTime</t>
  </si>
  <si>
    <t>Format=DateTime; FriendlyDisplayFormat=Disabled</t>
  </si>
  <si>
    <t>Latest registration UTC</t>
  </si>
  <si>
    <t>&lt;Field Type='DateTime' DisplayName='LastRegisteredUtc' Name='LastRegisteredUtc' StaticName='LastRegisteredUtc' Required='TRUE' Format='DateTime' FriendlyDisplayFormat='Disabled' Indexed='TRUE' Group='DGO HTTP Flow Governance' /&gt;</t>
  </si>
  <si>
    <t>LastSeenUtc</t>
  </si>
  <si>
    <t>Latest observed activity UTC</t>
  </si>
  <si>
    <t>&lt;Field Type='DateTime' DisplayName='LastSeenUtc' Name='LastSeenUtc' StaticName='LastSeenUtc' Required='TRUE' Format='DateTime' FriendlyDisplayFormat='Disabled' Indexed='TRUE' Group='DGO HTTP Flow Governance' /&gt;</t>
  </si>
  <si>
    <t>LastSuccessfulCallUtc</t>
  </si>
  <si>
    <t>Latest successful call UTC</t>
  </si>
  <si>
    <t>&lt;Field Type='DateTime' DisplayName='LastSuccessfulCallUtc' Name='LastSuccessfulCallUtc' StaticName='LastSuccessfulCallUtc' Required='FALSE' Format='DateTime' FriendlyDisplayFormat='Disabled' Group='DGO HTTP Flow Governance' /&gt;</t>
  </si>
  <si>
    <t>LastFailureUtc</t>
  </si>
  <si>
    <t>Latest failure UTC</t>
  </si>
  <si>
    <t>&lt;Field Type='DateTime' DisplayName='LastFailureUtc' Name='LastFailureUtc' StaticName='LastFailureUtc' Required='FALSE' Format='DateTime' FriendlyDisplayFormat='Disabled' Group='DGO HTTP Flow Governance' /&gt;</t>
  </si>
  <si>
    <t>LastAuditUtc</t>
  </si>
  <si>
    <t>Latest audit UTC</t>
  </si>
  <si>
    <t>&lt;Field Type='DateTime' DisplayName='LastAuditUtc' Name='LastAuditUtc' StaticName='LastAuditUtc' Required='FALSE' Format='DateTime' FriendlyDisplayFormat='Disabled' Group='DGO HTTP Flow Governance' /&gt;</t>
  </si>
  <si>
    <t>TotalExecutions</t>
  </si>
  <si>
    <t>Number</t>
  </si>
  <si>
    <t>Decimals=0; Min=0</t>
  </si>
  <si>
    <t>Total executions</t>
  </si>
  <si>
    <t>&lt;Field Type='Number' DisplayName='TotalExecutions' Name='TotalExecutions' StaticName='TotalExecutions' Required='TRUE' Decimals='0' Min='0' Group='DGO HTTP Flow Governance' /&gt;</t>
  </si>
  <si>
    <t>SuccessfulExecutions</t>
  </si>
  <si>
    <t>Successful executions</t>
  </si>
  <si>
    <t>&lt;Field Type='Number' DisplayName='SuccessfulExecutions' Name='SuccessfulExecutions' StaticName='SuccessfulExecutions' Required='TRUE' Decimals='0' Min='0' Group='DGO HTTP Flow Governance' /&gt;</t>
  </si>
  <si>
    <t>FailedExecutions</t>
  </si>
  <si>
    <t>Failed executions</t>
  </si>
  <si>
    <t>&lt;Field Type='Number' DisplayName='FailedExecutions' Name='FailedExecutions' StaticName='FailedExecutions' Required='TRUE' Decimals='0' Min='0' Group='DGO HTTP Flow Governance' /&gt;</t>
  </si>
  <si>
    <t>ConsecutiveFailures</t>
  </si>
  <si>
    <t>Current consecutive failures</t>
  </si>
  <si>
    <t>&lt;Field Type='Number' DisplayName='ConsecutiveFailures' Name='ConsecutiveFailures' StaticName='ConsecutiveFailures' Required='TRUE' Decimals='0' Min='0' Group='DGO HTTP Flow Governance' /&gt;</t>
  </si>
  <si>
    <t>AverageDurationMs</t>
  </si>
  <si>
    <t>Average duration in milliseconds</t>
  </si>
  <si>
    <t>&lt;Field Type='Number' DisplayName='AverageDurationMs' Name='AverageDurationMs' StaticName='AverageDurationMs' Required='TRUE' Decimals='0' Min='0' Group='DGO HTTP Flow Governance' /&gt;</t>
  </si>
  <si>
    <t>IsCompliant</t>
  </si>
  <si>
    <t>Boolean</t>
  </si>
  <si>
    <t>Compliance indicator</t>
  </si>
  <si>
    <t>&lt;Field Type='Boolean' DisplayName='IsCompliant' Name='IsCompliant' StaticName='IsCompliant' Required='TRUE' Group='DGO HTTP Flow Governance' /&gt;</t>
  </si>
  <si>
    <t>ComplianceIssues</t>
  </si>
  <si>
    <t>Compliance issue details</t>
  </si>
  <si>
    <t>&lt;Field Type='Note' DisplayName='ComplianceIssues' Name='ComplianceIssues' StaticName='ComplianceIssues' Required='FALSE' NumLines='10' RichText='FALSE' AppendOnly='FALSE' Group='DGO HTTP Flow Governance' /&gt;</t>
  </si>
  <si>
    <t>RecordVersion</t>
  </si>
  <si>
    <t>Application-level record version</t>
  </si>
  <si>
    <t>&lt;Field Type='Number' DisplayName='RecordVersion' Name='RecordVersion' StaticName='RecordVersion' Required='TRUE' Decimals='0' Min='0' Group='DGO HTTP Flow Governance' /&gt;</t>
  </si>
  <si>
    <t>Unique contract snapshot key</t>
  </si>
  <si>
    <t>&lt;Field Type='Text' DisplayName='ContractKey' Name='ContractKey' StaticName='ContractKey' Required='TRUE' MaxLength='255' Indexed='TRUE' EnforceUniqueValues='TRUE' Group='DGO HTTP Flow Governance' /&gt;</t>
  </si>
  <si>
    <t>Logical registry reference</t>
  </si>
  <si>
    <t>&lt;Field Type='Text' DisplayName='RegistryKey' Name='RegistryKey' StaticName='RegistryKey' Required='TRUE' MaxLength='255' Indexed='TRUE' Group='DGO HTTP Flow Governance' /&gt;</t>
  </si>
  <si>
    <t>Flow identifier</t>
  </si>
  <si>
    <t>Definition version</t>
  </si>
  <si>
    <t>&lt;Field Type='Text' DisplayName='DefinitionFingerprint' Name='DefinitionFingerprint' StaticName='DefinitionFingerprint' Required='TRUE' MaxLength='255' Indexed='TRUE' Group='DGO HTTP Flow Governance' /&gt;</t>
  </si>
  <si>
    <t>Request schema</t>
  </si>
  <si>
    <t>Response contract</t>
  </si>
  <si>
    <t>DependenciesJson</t>
  </si>
  <si>
    <t>Dependencies at version time</t>
  </si>
  <si>
    <t>&lt;Field Type='Note' DisplayName='DependenciesJson' Name='DependenciesJson' StaticName='DependenciesJson' Required='FALSE' NumLines='10' RichText='FALSE' AppendOnly='FALSE' Group='DGO HTTP Flow Governance' /&gt;</t>
  </si>
  <si>
    <t>SnapshotJson</t>
  </si>
  <si>
    <t>Complete immutable snapshot payload</t>
  </si>
  <si>
    <t>&lt;Field Type='Note' DisplayName='SnapshotJson' Name='SnapshotJson' StaticName='SnapshotJson' Required='TRUE' NumLines='10' RichText='FALSE' AppendOnly='FALSE' Group='DGO HTTP Flow Governance' /&gt;</t>
  </si>
  <si>
    <t>EffectiveFromUtc</t>
  </si>
  <si>
    <t>Effective start UTC</t>
  </si>
  <si>
    <t>&lt;Field Type='DateTime' DisplayName='EffectiveFromUtc' Name='EffectiveFromUtc' StaticName='EffectiveFromUtc' Required='TRUE' Format='DateTime' FriendlyDisplayFormat='Disabled' Indexed='TRUE' Group='DGO HTTP Flow Governance' /&gt;</t>
  </si>
  <si>
    <t>EffectiveToUtc</t>
  </si>
  <si>
    <t>Effective end UTC</t>
  </si>
  <si>
    <t>&lt;Field Type='DateTime' DisplayName='EffectiveToUtc' Name='EffectiveToUtc' StaticName='EffectiveToUtc' Required='FALSE' Format='DateTime' FriendlyDisplayFormat='Disabled' Group='DGO HTTP Flow Governance' /&gt;</t>
  </si>
  <si>
    <t>IsCurrent</t>
  </si>
  <si>
    <t>Current-version indicator</t>
  </si>
  <si>
    <t>&lt;Field Type='Boolean' DisplayName='IsCurrent' Name='IsCurrent' StaticName='IsCurrent' Required='TRUE' Group='DGO HTTP Flow Governance' /&gt;</t>
  </si>
  <si>
    <t>Unique execution key</t>
  </si>
  <si>
    <t>&lt;Field Type='Text' DisplayName='ExecutionKey' Name='ExecutionKey' StaticName='ExecutionKey' Required='TRUE' MaxLength='255' Indexed='TRUE' EnforceUniqueValues='TRUE' Group='DGO HTTP Flow Governance' /&gt;</t>
  </si>
  <si>
    <t>RunId</t>
  </si>
  <si>
    <t>Flow run identifier</t>
  </si>
  <si>
    <t>&lt;Field Type='Text' DisplayName='RunId' Name='RunId' StaticName='RunId' Required='TRUE' MaxLength='255' Indexed='TRUE' Group='DGO HTTP Flow Governance' /&gt;</t>
  </si>
  <si>
    <t>CorrelationId</t>
  </si>
  <si>
    <t>Cross-system correlation identifier</t>
  </si>
  <si>
    <t>&lt;Field Type='Text' DisplayName='CorrelationId' Name='CorrelationId' StaticName='CorrelationId' Required='FALSE' MaxLength='255' Indexed='TRUE' Group='DGO HTTP Flow Governance' /&gt;</t>
  </si>
  <si>
    <t>StartedUtc</t>
  </si>
  <si>
    <t>Start UTC</t>
  </si>
  <si>
    <t>&lt;Field Type='DateTime' DisplayName='StartedUtc' Name='StartedUtc' StaticName='StartedUtc' Required='TRUE' Format='DateTime' FriendlyDisplayFormat='Disabled' Indexed='TRUE' Group='DGO HTTP Flow Governance' /&gt;</t>
  </si>
  <si>
    <t>CompletedUtc</t>
  </si>
  <si>
    <t>Completion UTC</t>
  </si>
  <si>
    <t>&lt;Field Type='DateTime' DisplayName='CompletedUtc' Name='CompletedUtc' StaticName='CompletedUtc' Required='TRUE' Format='DateTime' FriendlyDisplayFormat='Disabled' Group='DGO HTTP Flow Governance' /&gt;</t>
  </si>
  <si>
    <t>DurationMs</t>
  </si>
  <si>
    <t>Duration in milliseconds</t>
  </si>
  <si>
    <t>&lt;Field Type='Number' DisplayName='DurationMs' Name='DurationMs' StaticName='DurationMs' Required='TRUE' Decimals='0' Min='0' Group='DGO HTTP Flow Governance' /&gt;</t>
  </si>
  <si>
    <t>Outcome</t>
  </si>
  <si>
    <t>Execution outcome</t>
  </si>
  <si>
    <t>&lt;Field Type='Text' DisplayName='Outcome' Name='Outcome' StaticName='Outcome' Required='TRUE' MaxLength='255' Indexed='TRUE' Group='DGO HTTP Flow Governance' /&gt;</t>
  </si>
  <si>
    <t>HttpStatusCode</t>
  </si>
  <si>
    <t>HTTP response status</t>
  </si>
  <si>
    <t>&lt;Field Type='Number' DisplayName='HttpStatusCode' Name='HttpStatusCode' StaticName='HttpStatusCode' Required='FALSE' Decimals='0' Min='0' Group='DGO HTTP Flow Governance' /&gt;</t>
  </si>
  <si>
    <t>CallerSystem</t>
  </si>
  <si>
    <t>Calling system</t>
  </si>
  <si>
    <t>&lt;Field Type='Text' DisplayName='CallerSystem' Name='CallerSystem' StaticName='CallerSystem' Required='FALSE' MaxLength='255' Indexed='TRUE' Group='DGO HTTP Flow Governance' /&gt;</t>
  </si>
  <si>
    <t>ErrorCode</t>
  </si>
  <si>
    <t>Error code</t>
  </si>
  <si>
    <t>&lt;Field Type='Text' DisplayName='ErrorCode' Name='ErrorCode' StaticName='ErrorCode' Required='FALSE' MaxLength='255' Group='DGO HTTP Flow Governance' /&gt;</t>
  </si>
  <si>
    <t>ErrorMessage</t>
  </si>
  <si>
    <t>Error details</t>
  </si>
  <si>
    <t>&lt;Field Type='Note' DisplayName='ErrorMessage' Name='ErrorMessage' StaticName='ErrorMessage' Required='FALSE' NumLines='10' RichText='FALSE' AppendOnly='FALSE' Group='DGO HTTP Flow Governance' /&gt;</t>
  </si>
  <si>
    <t>ExecutionMetadataJson</t>
  </si>
  <si>
    <t>Sanitized execution metadata</t>
  </si>
  <si>
    <t>&lt;Field Type='Note' DisplayName='ExecutionMetadataJson' Name='ExecutionMetadataJson' StaticName='ExecutionMetadataJson' Required='FALSE' NumLines='10' RichText='FALSE' AppendOnly='FALSE' Group='DGO HTTP Flow Governance' /&gt;</t>
  </si>
  <si>
    <t>Unique dependency key</t>
  </si>
  <si>
    <t>&lt;Field Type='Text' DisplayName='DependencyKey' Name='DependencyKey' StaticName='DependencyKey' Required='TRUE' MaxLength='255' Indexed='TRUE' EnforceUniqueValues='TRUE' Group='DGO HTTP Flow Governance' /&gt;</t>
  </si>
  <si>
    <t>Direction</t>
  </si>
  <si>
    <t>Upstream/downstream direction</t>
  </si>
  <si>
    <t>&lt;Field Type='Text' DisplayName='Direction' Name='Direction' StaticName='Direction' Required='TRUE' MaxLength='255' Group='DGO HTTP Flow Governance' /&gt;</t>
  </si>
  <si>
    <t>DependencyType</t>
  </si>
  <si>
    <t>Dependency resource type</t>
  </si>
  <si>
    <t>&lt;Field Type='Text' DisplayName='DependencyType' Name='DependencyType' StaticName='DependencyType' Required='TRUE' MaxLength='255' Group='DGO HTTP Flow Governance' /&gt;</t>
  </si>
  <si>
    <t>DependencyIdentifier</t>
  </si>
  <si>
    <t>Dependency identifier</t>
  </si>
  <si>
    <t>&lt;Field Type='Text' DisplayName='DependencyIdentifier' Name='DependencyIdentifier' StaticName='DependencyIdentifier' Required='FALSE' MaxLength='255' Indexed='TRUE' Group='DGO HTTP Flow Governance' /&gt;</t>
  </si>
  <si>
    <t>DependencyEndpointRedacted</t>
  </si>
  <si>
    <t>Sanitized dependency endpoint</t>
  </si>
  <si>
    <t>&lt;Field Type='Note' DisplayName='DependencyEndpointRedacted' Name='DependencyEndpointRedacted' StaticName='DependencyEndpointRedacted' Required='FALSE' NumLines='10' RichText='FALSE' AppendOnly='FALSE' Group='DGO HTTP Flow Governance' /&gt;</t>
  </si>
  <si>
    <t>IsCritical</t>
  </si>
  <si>
    <t>Critical dependency indicator</t>
  </si>
  <si>
    <t>&lt;Field Type='Boolean' DisplayName='IsCritical' Name='IsCritical' StaticName='IsCritical' Required='TRUE' Group='DGO HTTP Flow Governance' /&gt;</t>
  </si>
  <si>
    <t>Dependency lifecycle state</t>
  </si>
  <si>
    <t>&lt;Field Type='Text' DisplayName='LifecycleStatus' Name='LifecycleStatus' StaticName='LifecycleStatus' Required='TRUE' MaxLength='255' Group='DGO HTTP Flow Governance' /&gt;</t>
  </si>
  <si>
    <t>LastConfirmedUtc</t>
  </si>
  <si>
    <t>Last confirmation UTC</t>
  </si>
  <si>
    <t>&lt;Field Type='DateTime' DisplayName='LastConfirmedUtc' Name='LastConfirmedUtc' StaticName='LastConfirmedUtc' Required='TRUE' Format='DateTime' FriendlyDisplayFormat='Disabled' Group='DGO HTTP Flow Governance' /&gt;</t>
  </si>
  <si>
    <t>Unique exception key</t>
  </si>
  <si>
    <t>&lt;Field Type='Text' DisplayName='ExceptionKey' Name='ExceptionKey' StaticName='ExceptionKey' Required='TRUE' MaxLength='255' Indexed='TRUE' EnforceUniqueValues='TRUE' Group='DGO HTTP Flow Governance' /&gt;</t>
  </si>
  <si>
    <t>Optional registry reference</t>
  </si>
  <si>
    <t>&lt;Field Type='Text' DisplayName='RegistryKey' Name='RegistryKey' StaticName='RegistryKey' Required='FALSE' MaxLength='255' Indexed='TRUE' Group='DGO HTTP Flow Governance' /&gt;</t>
  </si>
  <si>
    <t>Optional flow identifier</t>
  </si>
  <si>
    <t>&lt;Field Type='Text' DisplayName='FlowId' Name='FlowId' StaticName='FlowId' Required='FALSE' MaxLength='255' Indexed='TRUE' Group='DGO HTTP Flow Governance' /&gt;</t>
  </si>
  <si>
    <t>Optional run identifier</t>
  </si>
  <si>
    <t>&lt;Field Type='Text' DisplayName='RunId' Name='RunId' StaticName='RunId' Required='FALSE' MaxLength='255' Group='DGO HTTP Flow Governance' /&gt;</t>
  </si>
  <si>
    <t>ExceptionType</t>
  </si>
  <si>
    <t>Exception category</t>
  </si>
  <si>
    <t>&lt;Field Type='Text' DisplayName='ExceptionType' Name='ExceptionType' StaticName='ExceptionType' Required='TRUE' MaxLength='255' Indexed='TRUE' Group='DGO HTTP Flow Governance' /&gt;</t>
  </si>
  <si>
    <t>Severity</t>
  </si>
  <si>
    <t>&lt;Field Type='Text' DisplayName='Severity' Name='Severity' StaticName='Severity' Required='TRUE' MaxLength='255' Indexed='TRUE' Group='DGO HTTP Flow Governance' /&gt;</t>
  </si>
  <si>
    <t>Status</t>
  </si>
  <si>
    <t>Resolution status</t>
  </si>
  <si>
    <t>&lt;Field Type='Text' DisplayName='Status' Name='Status' StaticName='Status' Required='TRUE' MaxLength='255' Indexed='TRUE' Group='DGO HTTP Flow Governance' /&gt;</t>
  </si>
  <si>
    <t>Details</t>
  </si>
  <si>
    <t>Exception description</t>
  </si>
  <si>
    <t>&lt;Field Type='Note' DisplayName='Details' Name='Details' StaticName='Details' Required='TRUE' NumLines='10' RichText='FALSE' AppendOnly='FALSE' Group='DGO HTTP Flow Governance' /&gt;</t>
  </si>
  <si>
    <t>DetectedUtc</t>
  </si>
  <si>
    <t>Detection UTC</t>
  </si>
  <si>
    <t>&lt;Field Type='DateTime' DisplayName='DetectedUtc' Name='DetectedUtc' StaticName='DetectedUtc' Required='TRUE' Format='DateTime' FriendlyDisplayFormat='Disabled' Indexed='TRUE' Group='DGO HTTP Flow Governance' /&gt;</t>
  </si>
  <si>
    <t>ResolvedUtc</t>
  </si>
  <si>
    <t>Resolution UTC</t>
  </si>
  <si>
    <t>&lt;Field Type='DateTime' DisplayName='ResolvedUtc' Name='ResolvedUtc' StaticName='ResolvedUtc' Required='FALSE' Format='DateTime' FriendlyDisplayFormat='Disabled' Group='DGO HTTP Flow Governance' /&gt;</t>
  </si>
  <si>
    <t>AssignedToEmail</t>
  </si>
  <si>
    <t>Assignee email</t>
  </si>
  <si>
    <t>&lt;Field Type='Text' DisplayName='AssignedToEmail' Name='AssignedToEmail' StaticName='AssignedToEmail' Required='FALSE' MaxLength='255' Group='DGO HTTP Flow Governance' /&gt;</t>
  </si>
  <si>
    <t>DiagnosticJson</t>
  </si>
  <si>
    <t>Diagnostic payload</t>
  </si>
  <si>
    <t>&lt;Field Type='Note' DisplayName='DiagnosticJson' Name='DiagnosticJson' StaticName='DiagnosticJson' Required='FALSE' NumLines='10' RichText='FALSE' AppendOnly='FALSE' Group='DGO HTTP Flow Governance' /&gt;</t>
  </si>
  <si>
    <t>Unique configuration key</t>
  </si>
  <si>
    <t>&lt;Field Type='Text' DisplayName='ConfigKey' Name='ConfigKey' StaticName='ConfigKey' Required='TRUE' MaxLength='255' Indexed='TRUE' EnforceUniqueValues='TRUE' Group='DGO HTTP Flow Governance' /&gt;</t>
  </si>
  <si>
    <t>ConfigValue</t>
  </si>
  <si>
    <t>Configuration value</t>
  </si>
  <si>
    <t>&lt;Field Type='Note' DisplayName='ConfigValue' Name='ConfigValue' StaticName='ConfigValue' Required='FALSE' NumLines='10' RichText='FALSE' AppendOnly='FALSE' Group='DGO HTTP Flow Governance' /&gt;</t>
  </si>
  <si>
    <t>ValueType</t>
  </si>
  <si>
    <t>Declared value type</t>
  </si>
  <si>
    <t>&lt;Field Type='Text' DisplayName='ValueType' Name='ValueType' StaticName='ValueType' Required='TRUE' MaxLength='255' Group='DGO HTTP Flow Governance' /&gt;</t>
  </si>
  <si>
    <t>IsSecret</t>
  </si>
  <si>
    <t>Secret indicator</t>
  </si>
  <si>
    <t>&lt;Field Type='Boolean' DisplayName='IsSecret' Name='IsSecret' StaticName='IsSecret' Required='TRUE' Group='DGO HTTP Flow Governance' /&gt;</t>
  </si>
  <si>
    <t>ConfigDescription</t>
  </si>
  <si>
    <t>Configuration description</t>
  </si>
  <si>
    <t>&lt;Field Type='Note' DisplayName='ConfigDescription' Name='ConfigDescription' StaticName='ConfigDescription' Required='FALSE' NumLines='10' RichText='FALSE' AppendOnly='FALSE' Group='DGO HTTP Flow Governance' /&gt;</t>
  </si>
  <si>
    <t>IsEnabled</t>
  </si>
  <si>
    <t>Enabled indicator</t>
  </si>
  <si>
    <t>&lt;Field Type='Boolean' DisplayName='IsEnabled' Name='IsEnabled' StaticName='IsEnabled' Required='TRUE' Group='DGO HTTP Flow Governance' /&gt;</t>
  </si>
  <si>
    <t>Unique consumer key</t>
  </si>
  <si>
    <t>&lt;Field Type='Text' DisplayName='ConsumerKey' Name='ConsumerKey' StaticName='ConsumerKey' Required='TRUE' MaxLength='255' Indexed='TRUE' EnforceUniqueValues='TRUE' Group='DGO HTTP Flow Governance' /&gt;</t>
  </si>
  <si>
    <t>ConsumerName</t>
  </si>
  <si>
    <t>Consumer display name</t>
  </si>
  <si>
    <t>&lt;Field Type='Text' DisplayName='ConsumerName' Name='ConsumerName' StaticName='ConsumerName' Required='TRUE' MaxLength='255' Group='DGO HTTP Flow Governance' /&gt;</t>
  </si>
  <si>
    <t>ConsumerType</t>
  </si>
  <si>
    <t>Consumer category</t>
  </si>
  <si>
    <t>&lt;Field Type='Text' DisplayName='ConsumerType' Name='ConsumerType' StaticName='ConsumerType' Required='TRUE' MaxLength='255' Group='DGO HTTP Flow Governance' /&gt;</t>
  </si>
  <si>
    <t>ConsumerIdentifier</t>
  </si>
  <si>
    <t>Consumer technical identifier</t>
  </si>
  <si>
    <t>&lt;Field Type='Text' DisplayName='ConsumerIdentifier' Name='ConsumerIdentifier' StaticName='ConsumerIdentifier' Required='FALSE' MaxLength='255' Indexed='TRUE' Group='DGO HTTP Flow Governance' /&gt;</t>
  </si>
  <si>
    <t>OwnerEmail</t>
  </si>
  <si>
    <t>Owner email</t>
  </si>
  <si>
    <t>&lt;Field Type='Text' DisplayName='OwnerEmail' Name='OwnerEmail' StaticName='OwnerEmail' Required='TRUE' MaxLength='255' Group='DGO HTTP Flow Governance' /&gt;</t>
  </si>
  <si>
    <t>ExpectedAuthentication</t>
  </si>
  <si>
    <t>Expected authentication mode</t>
  </si>
  <si>
    <t>&lt;Field Type='Text' DisplayName='ExpectedAuthentication' Name='ExpectedAuthentication' StaticName='ExpectedAuthentication' Required='TRUE' MaxLength='255' Group='DGO HTTP Flow Governance' /&gt;</t>
  </si>
  <si>
    <t>IsApproved</t>
  </si>
  <si>
    <t>Approval indicator</t>
  </si>
  <si>
    <t>&lt;Field Type='Boolean' DisplayName='IsApproved' Name='IsApproved' StaticName='IsApproved' Required='TRUE' Group='DGO HTTP Flow Governance' /&gt;</t>
  </si>
  <si>
    <t>ApprovedUtc</t>
  </si>
  <si>
    <t>Approval UTC</t>
  </si>
  <si>
    <t>&lt;Field Type='DateTime' DisplayName='ApprovedUtc' Name='ApprovedUtc' StaticName='ApprovedUtc' Required='FALSE' Format='DateTime' FriendlyDisplayFormat='Disabled' Group='DGO HTTP Flow Governance' /&gt;</t>
  </si>
  <si>
    <t>LastObservedUtc</t>
  </si>
  <si>
    <t>Latest observation UTC</t>
  </si>
  <si>
    <t>&lt;Field Type='DateTime' DisplayName='LastObservedUtc' Name='LastObservedUtc' StaticName='LastObservedUtc' Required='FALSE' Format='DateTime' FriendlyDisplayFormat='Disabled' Group='DGO HTTP Flow Governance' /&gt;</t>
  </si>
  <si>
    <t>Consumer lifecycle state</t>
  </si>
  <si>
    <t>Configuration Seed Data</t>
  </si>
  <si>
    <t>Twelve records upserted into DGO_HTTPFlowRegistryConfiguration.</t>
  </si>
  <si>
    <t>Title</t>
  </si>
  <si>
    <t>Upsert behavior</t>
  </si>
  <si>
    <t>RegistrySchemaVersion</t>
  </si>
  <si>
    <t>1.0</t>
  </si>
  <si>
    <t>String</t>
  </si>
  <si>
    <t>Current DGO HTTP flow registry contract version.</t>
  </si>
  <si>
    <t>Create when missing; MERGE update when present</t>
  </si>
  <si>
    <t>Defined; actual upsert outcome unavailable</t>
  </si>
  <si>
    <t>StaleAfterDays</t>
  </si>
  <si>
    <t>7</t>
  </si>
  <si>
    <t>Integer</t>
  </si>
  <si>
    <t>Days without registration or execution activity before an active flow is stale.</t>
  </si>
  <si>
    <t>ExecutionRetentionDays</t>
  </si>
  <si>
    <t>180</t>
  </si>
  <si>
    <t>Approved retention period for execution-ledger records.</t>
  </si>
  <si>
    <t>ConsecutiveFailureThreshold</t>
  </si>
  <si>
    <t>3</t>
  </si>
  <si>
    <t>Consecutive failures required before creating a governance exception.</t>
  </si>
  <si>
    <t>GovernanceNotificationEmail</t>
  </si>
  <si>
    <t>dgsRegistry@nitda.gov.ng</t>
  </si>
  <si>
    <t>Email</t>
  </si>
  <si>
    <t>Mailbox for registry, exception and provisioning notifications.</t>
  </si>
  <si>
    <t>CaptureRequestBody</t>
  </si>
  <si>
    <t>false</t>
  </si>
  <si>
    <t>Raw HTTP request-body capture is disabled.</t>
  </si>
  <si>
    <t>CaptureHeaders</t>
  </si>
  <si>
    <t>Raw HTTP header capture is disabled.</t>
  </si>
  <si>
    <t>CaptureQueries</t>
  </si>
  <si>
    <t>true</t>
  </si>
  <si>
    <t>Sanitized query metadata may be captured.</t>
  </si>
  <si>
    <t>RegistryEnabled</t>
  </si>
  <si>
    <t>Master switch for flow-truth registration.</t>
  </si>
  <si>
    <t>ExecutionLedgerEnabled</t>
  </si>
  <si>
    <t>Master switch for execution-ledger persistence.</t>
  </si>
  <si>
    <t>ProvisioningSchemaExpectedListCount</t>
  </si>
  <si>
    <t>Expected number of registry SharePoint lists.</t>
  </si>
  <si>
    <t>ProvisioningSchemaExpectedFieldCount</t>
  </si>
  <si>
    <t>101</t>
  </si>
  <si>
    <t>Expected number of custom registry fields.</t>
  </si>
  <si>
    <t>Governance Views</t>
  </si>
  <si>
    <t>Complete CAML filters and ordered view-field definitions.</t>
  </si>
  <si>
    <t>View title</t>
  </si>
  <si>
    <t>CAML ViewQuery</t>
  </si>
  <si>
    <t>View fields in order</t>
  </si>
  <si>
    <t>Provisioning behavior</t>
  </si>
  <si>
    <t>Active HTTP Flows</t>
  </si>
  <si>
    <t>&lt;Where&gt;&lt;Eq&gt;&lt;FieldRef Name='LifecycleStatus'/&gt;&lt;Value Type='Text'&gt;Active&lt;/Value&gt;&lt;/Eq&gt;&lt;/Where&gt;</t>
  </si>
  <si>
    <t>LinkTitle; RegistryKey; SystemName; Criticality; LifecycleStatus; LastSeenUtc; IsCompliant</t>
  </si>
  <si>
    <t>Create if missing; otherwise MERGE ViewQuery; remove all fields; add expected fields sequentially</t>
  </si>
  <si>
    <t>Defined; actual outcome unavailable</t>
  </si>
  <si>
    <t>Noncompliant Flows</t>
  </si>
  <si>
    <t>&lt;Where&gt;&lt;Eq&gt;&lt;FieldRef Name='IsCompliant'/&gt;&lt;Value Type='Boolean'&gt;0&lt;/Value&gt;&lt;/Eq&gt;&lt;/Where&gt;</t>
  </si>
  <si>
    <t>LinkTitle; RegistryKey; SystemName; TechnicalOwnerEmail; ComplianceIssues; LastAuditUtc</t>
  </si>
  <si>
    <t>Critical Flows</t>
  </si>
  <si>
    <t>&lt;Where&gt;&lt;Eq&gt;&lt;FieldRef Name='Criticality'/&gt;&lt;Value Type='Text'&gt;Critical&lt;/Value&gt;&lt;/Eq&gt;&lt;/Where&gt;</t>
  </si>
  <si>
    <t>LinkTitle; RegistryKey; SystemName; TechnicalOwnerEmail; LastSeenUtc</t>
  </si>
  <si>
    <t>Retired Flows</t>
  </si>
  <si>
    <t>&lt;Where&gt;&lt;Eq&gt;&lt;FieldRef Name='LifecycleStatus'/&gt;&lt;Value Type='Text'&gt;Retired&lt;/Value&gt;&lt;/Eq&gt;&lt;/Where&gt;</t>
  </si>
  <si>
    <t>LinkTitle; RegistryKey; SystemName; LastRegisteredUtc</t>
  </si>
  <si>
    <t>&lt;Where&gt;&lt;Eq&gt;&lt;FieldRef Name='Status'/&gt;&lt;Value Type='Text'&gt;Open&lt;/Value&gt;&lt;/Eq&gt;&lt;/Where&gt;</t>
  </si>
  <si>
    <t>LinkTitle; ExceptionKey; Severity; ExceptionType; RegistryKey; DetectedUtc; AssignedToEmail</t>
  </si>
  <si>
    <t>&lt;Where&gt;&lt;Eq&gt;&lt;FieldRef Name='Outcome'/&gt;&lt;Value Type='Text'&gt;Failed&lt;/Value&gt;&lt;/Eq&gt;&lt;/Where&gt;</t>
  </si>
  <si>
    <t>LinkTitle; RegistryKey; FlowId; Outcome; CompletedUtc; ErrorCode</t>
  </si>
  <si>
    <t>&lt;Where&gt;&lt;Eq&gt;&lt;FieldRef Name='IsApproved'/&gt;&lt;Value Type='Boolean'&gt;0&lt;/Value&gt;&lt;/Eq&gt;&lt;/Where&gt;</t>
  </si>
  <si>
    <t>LinkTitle; ConsumerKey; RegistryKey; ConsumerType; OwnerEmail; LastObservedUtc</t>
  </si>
  <si>
    <t>Unique-Key Controls</t>
  </si>
  <si>
    <t>Expected indexed and uniqueness constraints for each list.</t>
  </si>
  <si>
    <t>Field</t>
  </si>
  <si>
    <t>Expected indexed</t>
  </si>
  <si>
    <t>Expected unique</t>
  </si>
  <si>
    <t>Validation test</t>
  </si>
  <si>
    <t>Success effect</t>
  </si>
  <si>
    <t>GET field properties; require Indexed=true AND EnforceUniqueValues=true</t>
  </si>
  <si>
    <t>Increments varValidatedUniqueKeys when valid</t>
  </si>
  <si>
    <t>Defined; actual validation unavailable</t>
  </si>
  <si>
    <t>List Settings Matrix</t>
  </si>
  <si>
    <t>Settings applied to every provisioned list.</t>
  </si>
  <si>
    <t>Property</t>
  </si>
  <si>
    <t>Expected value</t>
  </si>
  <si>
    <t>Method</t>
  </si>
  <si>
    <t>EnableAttachments</t>
  </si>
  <si>
    <t>MERGE list or Title field configuration</t>
  </si>
  <si>
    <t>Defined; actual result unavailable</t>
  </si>
  <si>
    <t>EnableFolderCreation</t>
  </si>
  <si>
    <t>EnableVersioning</t>
  </si>
  <si>
    <t>MajorVersionLimit</t>
  </si>
  <si>
    <t>100</t>
  </si>
  <si>
    <t>ForceCheckout</t>
  </si>
  <si>
    <t>Hidden</t>
  </si>
  <si>
    <t>Title.Required</t>
  </si>
  <si>
    <t>Workflow and Dependency Structure</t>
  </si>
  <si>
    <t>Major actions and their sequencing/run-after behavior.</t>
  </si>
  <si>
    <t>Action</t>
  </si>
  <si>
    <t>Type</t>
  </si>
  <si>
    <t>Purpose</t>
  </si>
  <si>
    <t>Dependency / run-after</t>
  </si>
  <si>
    <t>Compose</t>
  </si>
  <si>
    <t>Defines seven list titles/descriptions</t>
  </si>
  <si>
    <t>After Initialize_Validated_Unique_Keys succeeds</t>
  </si>
  <si>
    <t>Apply_to_each_List</t>
  </si>
  <si>
    <t>Foreach</t>
  </si>
  <si>
    <t>Checks, creates, configures lists and Title fields</t>
  </si>
  <si>
    <t>Sequential concurrency=1</t>
  </si>
  <si>
    <t>Defines 101 fields</t>
  </si>
  <si>
    <t>After list loop succeeds</t>
  </si>
  <si>
    <t>Apply_to_each_Field</t>
  </si>
  <si>
    <t>Checks, creates, validates every field</t>
  </si>
  <si>
    <t>Defines 12 seeds</t>
  </si>
  <si>
    <t>After field loop succeeds</t>
  </si>
  <si>
    <t>Apply_to_each_Seed</t>
  </si>
  <si>
    <t>Creates or updates configuration items</t>
  </si>
  <si>
    <t>Defines seven views</t>
  </si>
  <si>
    <t>After seed loop succeeds</t>
  </si>
  <si>
    <t>Apply_to_each_View</t>
  </si>
  <si>
    <t>Creates/updates views, resets fields, adds ordered fields</t>
  </si>
  <si>
    <t>Defines seven unique-key checks</t>
  </si>
  <si>
    <t>After view loop succeeds</t>
  </si>
  <si>
    <t>Apply_to_each_Unique_Key</t>
  </si>
  <si>
    <t>Validates Indexed and EnforceUniqueValues</t>
  </si>
  <si>
    <t>Final_Get_Lists</t>
  </si>
  <si>
    <t>SharePoint HTTP</t>
  </si>
  <si>
    <t>Retrieves DGO_HTTPFlow* lists and settings</t>
  </si>
  <si>
    <t>After unique-key loop</t>
  </si>
  <si>
    <t>Final_Get_Seeds</t>
  </si>
  <si>
    <t>Retrieves enabled seeds</t>
  </si>
  <si>
    <t>After Final_Get_Lists</t>
  </si>
  <si>
    <t>Final_Get_*_Views</t>
  </si>
  <si>
    <t>Retrieves views from four lists</t>
  </si>
  <si>
    <t>Sequential chain</t>
  </si>
  <si>
    <t>Compose_All_Views</t>
  </si>
  <si>
    <t>Unions view responses</t>
  </si>
  <si>
    <t>After consumer views</t>
  </si>
  <si>
    <t>Filter_Required_Views</t>
  </si>
  <si>
    <t>Query</t>
  </si>
  <si>
    <t>Filters seven required titles</t>
  </si>
  <si>
    <t>After view union</t>
  </si>
  <si>
    <t>Filter_Required_Lists</t>
  </si>
  <si>
    <t>Filters seven required list titles</t>
  </si>
  <si>
    <t>After required views</t>
  </si>
  <si>
    <t>Filter_Valid_List_Settings</t>
  </si>
  <si>
    <t>Checks five core settings</t>
  </si>
  <si>
    <t>After required lists</t>
  </si>
  <si>
    <t>Filter_Validated_Fields</t>
  </si>
  <si>
    <t>Selects FieldValidation result records</t>
  </si>
  <si>
    <t>After list settings filter</t>
  </si>
  <si>
    <t>Compose_Final_Report_JSON</t>
  </si>
  <si>
    <t>Builds structured execution report and status</t>
  </si>
  <si>
    <t>After validated fields filter</t>
  </si>
  <si>
    <t>Compose_Final_Report_HTML</t>
  </si>
  <si>
    <t>Builds HTML email report</t>
  </si>
  <si>
    <t>After JSON report</t>
  </si>
  <si>
    <t>Send_Final_Report_Email</t>
  </si>
  <si>
    <t>Office 365 Outlook</t>
  </si>
  <si>
    <t>Sends report and JSON attachment</t>
  </si>
  <si>
    <t>After HTML report</t>
  </si>
  <si>
    <t>If_Provisioning_Failed</t>
  </si>
  <si>
    <t>Condition</t>
  </si>
  <si>
    <t>Terminates Failed or Succeeded</t>
  </si>
  <si>
    <t>Runs after email Succeeded, Failed, or TimedOut</t>
  </si>
  <si>
    <t>SharePoint REST Requests</t>
  </si>
  <si>
    <t>Normalized request catalogue derived from the supplied OpenApiConnection actions.</t>
  </si>
  <si>
    <t>Operation</t>
  </si>
  <si>
    <t>Relative URI pattern</t>
  </si>
  <si>
    <t>Headers</t>
  </si>
  <si>
    <t>Body / parameters</t>
  </si>
  <si>
    <t>Check list</t>
  </si>
  <si>
    <t>GET</t>
  </si>
  <si>
    <t>_api/web/lists?$select=Id,Title&amp;$filter=Title eq '&lt;escaped title&gt;'&amp;$top=1</t>
  </si>
  <si>
    <t>Accept: application/json;odata=nometadata</t>
  </si>
  <si>
    <t>None</t>
  </si>
  <si>
    <t>Create list</t>
  </si>
  <si>
    <t>POST</t>
  </si>
  <si>
    <t>_api/web/lists</t>
  </si>
  <si>
    <t>Accept + Content-Type: application/json;odata=nometadata</t>
  </si>
  <si>
    <t>BaseTemplate=100; Title; Description</t>
  </si>
  <si>
    <t>Configure list</t>
  </si>
  <si>
    <t>POST/MERGE</t>
  </si>
  <si>
    <t>_api/web/lists/getByTitle('&lt;escaped title&gt;')</t>
  </si>
  <si>
    <t>IF-MATCH=*; X-HTTP-Method=MERGE</t>
  </si>
  <si>
    <t>EnableAttachments=false; EnableFolderCreation=false; EnableVersioning=true; MajorVersionLimit=100; ForceCheckout=false; Hidden=false</t>
  </si>
  <si>
    <t>Configure Title</t>
  </si>
  <si>
    <t>.../fields/getByInternalNameOrTitle('Title')</t>
  </si>
  <si>
    <t>Required=false</t>
  </si>
  <si>
    <t>Check field</t>
  </si>
  <si>
    <t>.../fields?$select=Id,InternalName,TypeAsString,Required,Indexed,EnforceUniqueValues&amp;$filter=InternalName eq '&lt;name&gt;'&amp;$top=1</t>
  </si>
  <si>
    <t>Accept nometadata</t>
  </si>
  <si>
    <t>Create field</t>
  </si>
  <si>
    <t>.../fields/createfieldasxml</t>
  </si>
  <si>
    <t>Accept + Content-Type nometadata</t>
  </si>
  <si>
    <t>parameters.Options=12; parameters.SchemaXml=&lt;definition&gt;</t>
  </si>
  <si>
    <t>Validate field</t>
  </si>
  <si>
    <t>.../fields/getByInternalNameOrTitle('&lt;name&gt;')?$select=InternalName,TypeAsString,Required,Indexed,EnforceUniqueValues</t>
  </si>
  <si>
    <t>Check seed</t>
  </si>
  <si>
    <t>.../items?$select=Id,ConfigKey&amp;$filter=ConfigKey eq '&lt;key&gt;'&amp;$top=1</t>
  </si>
  <si>
    <t>Create seed</t>
  </si>
  <si>
    <t>.../DGO_HTTPFlowRegistryConfiguration/items</t>
  </si>
  <si>
    <t>Entire seed object</t>
  </si>
  <si>
    <t>Update seed</t>
  </si>
  <si>
    <t>.../items(&lt;Id&gt;)</t>
  </si>
  <si>
    <t>Check view</t>
  </si>
  <si>
    <t>.../views?$select=Id,Title&amp;$filter=Title eq '&lt;title&gt;'&amp;$top=1</t>
  </si>
  <si>
    <t>Create view</t>
  </si>
  <si>
    <t>.../views</t>
  </si>
  <si>
    <t>Title; PersonalView=false; ViewQuery</t>
  </si>
  <si>
    <t>Update view</t>
  </si>
  <si>
    <t>.../views/getByTitle('&lt;title&gt;')</t>
  </si>
  <si>
    <t>ViewQuery</t>
  </si>
  <si>
    <t>Clear view fields</t>
  </si>
  <si>
    <t>.../viewfields/removeAllViewFields</t>
  </si>
  <si>
    <t>{}</t>
  </si>
  <si>
    <t>Add view field</t>
  </si>
  <si>
    <t>.../viewfields/addViewField('&lt;field&gt;')</t>
  </si>
  <si>
    <t>Status and Logging Model</t>
  </si>
  <si>
    <t>Meanings of design-time logging statuses and run-only states.</t>
  </si>
  <si>
    <t>Meaning</t>
  </si>
  <si>
    <t>Recorded in</t>
  </si>
  <si>
    <t>Created</t>
  </si>
  <si>
    <t>Missing list/field was successfully created</t>
  </si>
  <si>
    <t>varProvisioningResults</t>
  </si>
  <si>
    <t>AlreadyExists</t>
  </si>
  <si>
    <t>List/field already existed</t>
  </si>
  <si>
    <t>Configured</t>
  </si>
  <si>
    <t>List and Title configuration succeeded</t>
  </si>
  <si>
    <t>CreateFailed</t>
  </si>
  <si>
    <t>Creation failed or timed out</t>
  </si>
  <si>
    <t>varProvisioningErrors</t>
  </si>
  <si>
    <t>ConfigurationFailed</t>
  </si>
  <si>
    <t>List configuration failed or timed out</t>
  </si>
  <si>
    <t>TitleConfigurationFailed</t>
  </si>
  <si>
    <t>Title configuration failed or timed out</t>
  </si>
  <si>
    <t>Validated</t>
  </si>
  <si>
    <t>Field matches expected properties</t>
  </si>
  <si>
    <t>Mismatch</t>
  </si>
  <si>
    <t>Field or unique key differs from expected</t>
  </si>
  <si>
    <t>Upserted</t>
  </si>
  <si>
    <t>Seed or view condition completed successfully</t>
  </si>
  <si>
    <t>UpsertFailed</t>
  </si>
  <si>
    <t>Seed upsert failed or timed out</t>
  </si>
  <si>
    <t>Skipped</t>
  </si>
  <si>
    <t>Action dependency or alternate branch prevented execution</t>
  </si>
  <si>
    <t>Run history only</t>
  </si>
  <si>
    <t>TimedOut</t>
  </si>
  <si>
    <t>Action exceeded execution allowance</t>
  </si>
  <si>
    <t>Run history/errors</t>
  </si>
  <si>
    <t>Final Report Data Contract</t>
  </si>
  <si>
    <t>Complete JSON report fields and derivation.</t>
  </si>
  <si>
    <t>JSON path</t>
  </si>
  <si>
    <t>Value / expression</t>
  </si>
  <si>
    <t>Classification</t>
  </si>
  <si>
    <t>reportType</t>
  </si>
  <si>
    <t>DGO HTTP Flow Registry Complete Provisioning Report</t>
  </si>
  <si>
    <t>Static</t>
  </si>
  <si>
    <t>schemaVersion</t>
  </si>
  <si>
    <t>flow.displayName</t>
  </si>
  <si>
    <t>01 - GOV - Provision HTTP Flow Registry</t>
  </si>
  <si>
    <t>flow.flowId</t>
  </si>
  <si>
    <t>workflow()?['name']</t>
  </si>
  <si>
    <t>Runtime</t>
  </si>
  <si>
    <t>flow.environmentId</t>
  </si>
  <si>
    <t>workflow()?['tags']?['environmentName']</t>
  </si>
  <si>
    <t>flow.runId</t>
  </si>
  <si>
    <t>workflow()?['run']?['name']</t>
  </si>
  <si>
    <t>flow.runUrl</t>
  </si>
  <si>
    <t>Power Automate run URL constructed from environment, flow and run</t>
  </si>
  <si>
    <t>timing.startedUtc</t>
  </si>
  <si>
    <t>variables('varProvisioningStartUtc')</t>
  </si>
  <si>
    <t>timing.completedUtc</t>
  </si>
  <si>
    <t>utcNow()</t>
  </si>
  <si>
    <t>timing.durationMs</t>
  </si>
  <si>
    <t>(ticks(now)-ticks(start))/10000</t>
  </si>
  <si>
    <t>Derived</t>
  </si>
  <si>
    <t>validation.expectedLists</t>
  </si>
  <si>
    <t>validation.validatedLists</t>
  </si>
  <si>
    <t>Required-list filter count</t>
  </si>
  <si>
    <t>validation.expectedFields</t>
  </si>
  <si>
    <t>validation.validatedFields</t>
  </si>
  <si>
    <t>FieldValidation result count</t>
  </si>
  <si>
    <t>validation.expectedUniqueKeys</t>
  </si>
  <si>
    <t>validation.validatedUniqueKeys</t>
  </si>
  <si>
    <t>varValidatedUniqueKeys</t>
  </si>
  <si>
    <t>validation.expectedSeeds</t>
  </si>
  <si>
    <t>12</t>
  </si>
  <si>
    <t>validation.validatedSeeds</t>
  </si>
  <si>
    <t>Required enabled-seed count</t>
  </si>
  <si>
    <t>validation.expectedViews</t>
  </si>
  <si>
    <t>validation.validatedViews</t>
  </si>
  <si>
    <t>Required-view count</t>
  </si>
  <si>
    <t>validation.validatedListSettings</t>
  </si>
  <si>
    <t>Valid-list-settings count</t>
  </si>
  <si>
    <t>validation.errorCount</t>
  </si>
  <si>
    <t>varProvisioningErrors length</t>
  </si>
  <si>
    <t>status</t>
  </si>
  <si>
    <t>Succeeded only when all expected counts match and errors=0</t>
  </si>
  <si>
    <t>results</t>
  </si>
  <si>
    <t>Runtime array</t>
  </si>
  <si>
    <t>errors</t>
  </si>
  <si>
    <t>generatedAtUtc</t>
  </si>
  <si>
    <t>Design Observations and Controls</t>
  </si>
  <si>
    <t>Important implementation limitations and recommended governance controls.</t>
  </si>
  <si>
    <t>Area</t>
  </si>
  <si>
    <t>Observation</t>
  </si>
  <si>
    <t>Recommended control</t>
  </si>
  <si>
    <t>Definition does not contain actual run outputs</t>
  </si>
  <si>
    <t>Do not treat Defined as Created. Export Compose_Final_Report_JSON and run history.</t>
  </si>
  <si>
    <t>Required defaults</t>
  </si>
  <si>
    <t>Required numeric and Boolean fields have no declared defaults</t>
  </si>
  <si>
    <t>All item-creation flows must supply values explicitly.</t>
  </si>
  <si>
    <t>Controlled vocabulary</t>
  </si>
  <si>
    <t>Many governance dimensions are unrestricted Text fields</t>
  </si>
  <si>
    <t>Use Choice fields or enforce value dictionaries in producer flows.</t>
  </si>
  <si>
    <t>Email identity</t>
  </si>
  <si>
    <t>Owner fields are Text rather than Person/Group</t>
  </si>
  <si>
    <t>Add validation or migrate to directory-backed person fields where appropriate.</t>
  </si>
  <si>
    <t>Referential integrity</t>
  </si>
  <si>
    <t>RegistryKey relationships are logical Text links</t>
  </si>
  <si>
    <t>Implement validation and orphan detection.</t>
  </si>
  <si>
    <t>Contract immutability</t>
  </si>
  <si>
    <t>Immutability is descriptive, not technically enforced</t>
  </si>
  <si>
    <t>Use permissions, retention/record controls, or append-only integration design.</t>
  </si>
  <si>
    <t>Retention</t>
  </si>
  <si>
    <t>ExecutionRetentionDays is only configuration</t>
  </si>
  <si>
    <t>Implement a scheduled retention/archive flow.</t>
  </si>
  <si>
    <t>View validation</t>
  </si>
  <si>
    <t>Final validation checks titles, not CAML or field order</t>
  </si>
  <si>
    <t>Add query and view-field validation.</t>
  </si>
  <si>
    <t>Seed validation</t>
  </si>
  <si>
    <t>Final validation checks key/enabled only</t>
  </si>
  <si>
    <t>Validate ConfigValue, ValueType, IsSecret and description.</t>
  </si>
  <si>
    <t>Email attachment</t>
  </si>
  <si>
    <t>ContentBytes is populated with string JSON</t>
  </si>
  <si>
    <t>Confirm connector accepts this; Base64 may be required depending on action behavior.</t>
  </si>
  <si>
    <t>Failure propagation</t>
  </si>
  <si>
    <t>Many downstream actions require prior Succeeded</t>
  </si>
  <si>
    <t>A single unhandled HTTP failure can skip the remaining provisioning chain.</t>
  </si>
  <si>
    <t>Existing field mismatch</t>
  </si>
  <si>
    <t>Existing fields are validated but not remediated</t>
  </si>
  <si>
    <t>Add controlled ALTER/update procedures or fail with actionable remediation.</t>
  </si>
  <si>
    <t>Privacy/security</t>
  </si>
  <si>
    <t>Endpoint and execution metadata can contain sensitive data</t>
  </si>
  <si>
    <t>Maintain redaction, avoid secrets, and apply least privilege and retention.</t>
  </si>
  <si>
    <t>Connections and Destinations</t>
  </si>
  <si>
    <t>Functional identifiers present in the supplied definition. No credentials are included.</t>
  </si>
  <si>
    <t>Value</t>
  </si>
  <si>
    <t>SharePoint target site</t>
  </si>
  <si>
    <t>SharePoint API</t>
  </si>
  <si>
    <t>/providers/Microsoft.PowerApps/apis/shared_sharepointonline</t>
  </si>
  <si>
    <t>SharePoint reference key</t>
  </si>
  <si>
    <t>shared_sharepointonline-1</t>
  </si>
  <si>
    <t>Office 365 Outlook API</t>
  </si>
  <si>
    <t>/providers/Microsoft.PowerApps/apis/shared_office365</t>
  </si>
  <si>
    <t>Office 365 reference key</t>
  </si>
  <si>
    <t>shared_office365-1</t>
  </si>
  <si>
    <t>Report recipient</t>
  </si>
  <si>
    <t>Report attachment pattern</t>
  </si>
  <si>
    <t>DGO_HTTP_Flow_Registry_Complete_Provisioning_yyyyMMdd_HHmmss_UTC.json</t>
  </si>
  <si>
    <t>Workbook sheets</t>
  </si>
  <si>
    <t>01_Overview</t>
  </si>
  <si>
    <t>02_Lists</t>
  </si>
  <si>
    <t>03_Fields</t>
  </si>
  <si>
    <t>04_Config_Seeds</t>
  </si>
  <si>
    <t>05_Views</t>
  </si>
  <si>
    <t>06_Unique_Keys</t>
  </si>
  <si>
    <t>07_List_Settings</t>
  </si>
  <si>
    <t>08_Workflow</t>
  </si>
  <si>
    <t>09_REST_Parameters</t>
  </si>
  <si>
    <t>10_Status_Logging</t>
  </si>
  <si>
    <t>11_Final_Report</t>
  </si>
  <si>
    <t>12_Risks_Controls</t>
  </si>
  <si>
    <t>13_Connections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</si>
</sst>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1F4E78"/>
      <name val="Calibri"/>
    </font>
    <font>
      <b/>
      <sz val="11"/>
      <color rgb="FF1F4E78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F7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3" fillId="4" borderId="0" xfId="0" applyFont="1" applyFill="1"/>
    <xf numFmtId="0" fontId="0" fillId="0" borderId="0" xfId="0" applyAlignment="1">
      <alignment vertical="top" wrapText="1"/>
    </xf>
    <xf numFmtId="0" fontId="4" fillId="5" borderId="0" xfId="0" applyFont="1" applyFill="1"/>
    <xf numFmtId="0" fontId="4" fillId="5" borderId="0" xfId="0" applyFont="1" applyFill="1" applyAlignment="1">
      <alignment vertical="center" wrapText="1"/>
    </xf>
    <xf numFmtId="0" fontId="5" fillId="0" borderId="0" xfId="0" applyFont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3" fillId="0" borderId="0" xfId="0" applyFont="1"/>
    <xf numFmtId="0" fontId="6" fillId="0" borderId="0" xfId="1"/>
    <xf numFmtId="0" fontId="0" fillId="0" borderId="0" xfId="0" applyAlignment="1">
      <alignment vertical="top" wrapText="1"/>
    </xf>
    <xf numFmtId="0" fontId="0" fillId="0" borderId="0" xfId="0"/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theme" Target="theme/theme1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02Lists" displayName="tbl02Lists" ref="A4:M11">
  <autoFilter ref="A4:M11" xr:uid="{00000000-0009-0000-0100-000001000000}"/>
  <tableColumns count="13">
    <tableColumn id="1" xr3:uid="{00000000-0010-0000-0000-000001000000}" name="List title"/>
    <tableColumn id="2" xr3:uid="{00000000-0010-0000-0000-000002000000}" name="Description"/>
    <tableColumn id="3" xr3:uid="{00000000-0010-0000-0000-000003000000}" name="Base template"/>
    <tableColumn id="4" xr3:uid="{00000000-0010-0000-0000-000004000000}" name="Custom field count"/>
    <tableColumn id="5" xr3:uid="{00000000-0010-0000-0000-000005000000}" name="Unique key"/>
    <tableColumn id="6" xr3:uid="{00000000-0010-0000-0000-000006000000}" name="Custom views"/>
    <tableColumn id="7" xr3:uid="{00000000-0010-0000-0000-000007000000}" name="Attachments enabled"/>
    <tableColumn id="8" xr3:uid="{00000000-0010-0000-0000-000008000000}" name="Folder creation enabled"/>
    <tableColumn id="9" xr3:uid="{00000000-0010-0000-0000-000009000000}" name="Versioning enabled"/>
    <tableColumn id="10" xr3:uid="{00000000-0010-0000-0000-00000A000000}" name="Major version limit"/>
    <tableColumn id="11" xr3:uid="{00000000-0010-0000-0000-00000B000000}" name="Force checkout"/>
    <tableColumn id="12" xr3:uid="{00000000-0010-0000-0000-00000C000000}" name="Title required"/>
    <tableColumn id="13" xr3:uid="{00000000-0010-0000-0000-00000D000000}" name="Execution 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03Fields" displayName="tbl03Fields" ref="A4:M105">
  <autoFilter ref="A4:M105" xr:uid="{00000000-0009-0000-0100-000002000000}"/>
  <tableColumns count="13">
    <tableColumn id="1" xr3:uid="{00000000-0010-0000-0100-000001000000}" name="#"/>
    <tableColumn id="2" xr3:uid="{00000000-0010-0000-0100-000002000000}" name="List"/>
    <tableColumn id="3" xr3:uid="{00000000-0010-0000-0100-000003000000}" name="Internal name"/>
    <tableColumn id="4" xr3:uid="{00000000-0010-0000-0100-000004000000}" name="Display name"/>
    <tableColumn id="5" xr3:uid="{00000000-0010-0000-0100-000005000000}" name="Expected TypeAsString"/>
    <tableColumn id="6" xr3:uid="{00000000-0010-0000-0100-000006000000}" name="Required"/>
    <tableColumn id="7" xr3:uid="{00000000-0010-0000-0100-000007000000}" name="Indexed"/>
    <tableColumn id="8" xr3:uid="{00000000-0010-0000-0100-000008000000}" name="Unique"/>
    <tableColumn id="9" xr3:uid="{00000000-0010-0000-0100-000009000000}" name="Type parameters"/>
    <tableColumn id="10" xr3:uid="{00000000-0010-0000-0100-00000A000000}" name="Purpose / information"/>
    <tableColumn id="11" xr3:uid="{00000000-0010-0000-0100-00000B000000}" name="Field group"/>
    <tableColumn id="12" xr3:uid="{00000000-0010-0000-0100-00000C000000}" name="Schema XML"/>
    <tableColumn id="13" xr3:uid="{00000000-0010-0000-0100-00000D000000}" name="Execution ev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04ConfigSeeds" displayName="tbl04ConfigSeeds" ref="A4:I16">
  <autoFilter ref="A4:I16" xr:uid="{00000000-0009-0000-0100-000003000000}"/>
  <tableColumns count="9">
    <tableColumn id="1" xr3:uid="{00000000-0010-0000-0200-000001000000}" name="Title"/>
    <tableColumn id="2" xr3:uid="{00000000-0010-0000-0200-000002000000}" name="ConfigKey"/>
    <tableColumn id="3" xr3:uid="{00000000-0010-0000-0200-000003000000}" name="ConfigValue"/>
    <tableColumn id="4" xr3:uid="{00000000-0010-0000-0200-000004000000}" name="ValueType"/>
    <tableColumn id="5" xr3:uid="{00000000-0010-0000-0200-000005000000}" name="IsSecret"/>
    <tableColumn id="6" xr3:uid="{00000000-0010-0000-0200-000006000000}" name="Description"/>
    <tableColumn id="7" xr3:uid="{00000000-0010-0000-0200-000007000000}" name="IsEnabled"/>
    <tableColumn id="8" xr3:uid="{00000000-0010-0000-0200-000008000000}" name="Upsert behavior"/>
    <tableColumn id="9" xr3:uid="{00000000-0010-0000-0200-000009000000}" name="Execution ev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05Views" displayName="tbl05Views" ref="A4:F11">
  <autoFilter ref="A4:F11" xr:uid="{00000000-0009-0000-0100-000004000000}"/>
  <tableColumns count="6">
    <tableColumn id="1" xr3:uid="{00000000-0010-0000-0300-000001000000}" name="List"/>
    <tableColumn id="2" xr3:uid="{00000000-0010-0000-0300-000002000000}" name="View title"/>
    <tableColumn id="3" xr3:uid="{00000000-0010-0000-0300-000003000000}" name="CAML ViewQuery"/>
    <tableColumn id="4" xr3:uid="{00000000-0010-0000-0300-000004000000}" name="View fields in order"/>
    <tableColumn id="5" xr3:uid="{00000000-0010-0000-0300-000005000000}" name="Provisioning behavior"/>
    <tableColumn id="6" xr3:uid="{00000000-0010-0000-0300-000006000000}" name="Execution evid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06UniqueKeys" displayName="tbl06UniqueKeys" ref="A4:G11">
  <autoFilter ref="A4:G11" xr:uid="{00000000-0009-0000-0100-000005000000}"/>
  <tableColumns count="7">
    <tableColumn id="1" xr3:uid="{00000000-0010-0000-0400-000001000000}" name="List"/>
    <tableColumn id="2" xr3:uid="{00000000-0010-0000-0400-000002000000}" name="Field"/>
    <tableColumn id="3" xr3:uid="{00000000-0010-0000-0400-000003000000}" name="Expected indexed"/>
    <tableColumn id="4" xr3:uid="{00000000-0010-0000-0400-000004000000}" name="Expected unique"/>
    <tableColumn id="5" xr3:uid="{00000000-0010-0000-0400-000005000000}" name="Validation test"/>
    <tableColumn id="6" xr3:uid="{00000000-0010-0000-0400-000006000000}" name="Success effect"/>
    <tableColumn id="7" xr3:uid="{00000000-0010-0000-0400-000007000000}" name="Execution evi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07ListSettings" displayName="tbl07ListSettings" ref="A4:E53">
  <autoFilter ref="A4:E53" xr:uid="{00000000-0009-0000-0100-000006000000}"/>
  <tableColumns count="5">
    <tableColumn id="1" xr3:uid="{00000000-0010-0000-0500-000001000000}" name="List"/>
    <tableColumn id="2" xr3:uid="{00000000-0010-0000-0500-000002000000}" name="Property"/>
    <tableColumn id="3" xr3:uid="{00000000-0010-0000-0500-000003000000}" name="Expected value"/>
    <tableColumn id="4" xr3:uid="{00000000-0010-0000-0500-000004000000}" name="Method"/>
    <tableColumn id="5" xr3:uid="{00000000-0010-0000-0500-000005000000}" name="Execution evide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08Workflow" displayName="tbl08Workflow" ref="A4:D26">
  <autoFilter ref="A4:D26" xr:uid="{00000000-0009-0000-0100-000007000000}"/>
  <tableColumns count="4">
    <tableColumn id="1" xr3:uid="{00000000-0010-0000-0600-000001000000}" name="Action"/>
    <tableColumn id="2" xr3:uid="{00000000-0010-0000-0600-000002000000}" name="Type"/>
    <tableColumn id="3" xr3:uid="{00000000-0010-0000-0600-000003000000}" name="Purpose"/>
    <tableColumn id="4" xr3:uid="{00000000-0010-0000-0600-000004000000}" name="Dependency / run-aft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09RESTParameters" displayName="tbl09RESTParameters" ref="A4:E19">
  <autoFilter ref="A4:E19" xr:uid="{00000000-0009-0000-0100-000008000000}"/>
  <tableColumns count="5">
    <tableColumn id="1" xr3:uid="{00000000-0010-0000-0700-000001000000}" name="Operation"/>
    <tableColumn id="2" xr3:uid="{00000000-0010-0000-0700-000002000000}" name="HTTP method"/>
    <tableColumn id="3" xr3:uid="{00000000-0010-0000-0700-000003000000}" name="Relative URI pattern"/>
    <tableColumn id="4" xr3:uid="{00000000-0010-0000-0700-000004000000}" name="Headers"/>
    <tableColumn id="5" xr3:uid="{00000000-0010-0000-0700-000005000000}" name="Body / parameter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10StatusLogging" displayName="tbl10StatusLogging" ref="A4:C16">
  <autoFilter ref="A4:C16" xr:uid="{00000000-0009-0000-0100-000009000000}"/>
  <tableColumns count="3">
    <tableColumn id="1" xr3:uid="{00000000-0010-0000-0800-000001000000}" name="Status"/>
    <tableColumn id="2" xr3:uid="{00000000-0010-0000-0800-000002000000}" name="Meaning"/>
    <tableColumn id="3" xr3:uid="{00000000-0010-0000-0800-000003000000}" name="Recorded i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11FinalReport" displayName="tbl11FinalReport" ref="A4:C30">
  <autoFilter ref="A4:C30" xr:uid="{00000000-0009-0000-0100-00000A000000}"/>
  <tableColumns count="3">
    <tableColumn id="1" xr3:uid="{00000000-0010-0000-0900-000001000000}" name="JSON path"/>
    <tableColumn id="2" xr3:uid="{00000000-0010-0000-0900-000002000000}" name="Value / expression"/>
    <tableColumn id="3" xr3:uid="{00000000-0010-0000-0900-000003000000}" name="Classifica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12RisksControls" displayName="tbl12RisksControls" ref="A4:C17">
  <autoFilter ref="A4:C17" xr:uid="{00000000-0009-0000-0100-00000B000000}"/>
  <tableColumns count="3">
    <tableColumn id="1" xr3:uid="{00000000-0010-0000-0A00-000001000000}" name="Area"/>
    <tableColumn id="2" xr3:uid="{00000000-0010-0000-0A00-000002000000}" name="Observation"/>
    <tableColumn id="3" xr3:uid="{00000000-0010-0000-0A00-000003000000}" name="Recommended contro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13Connections" displayName="tbl13Connections" ref="A4:B11">
  <autoFilter ref="A4:B11" xr:uid="{00000000-0009-0000-0100-00000C000000}"/>
  <tableColumns count="2">
    <tableColumn id="1" xr3:uid="{00000000-0010-0000-0B00-000001000000}" name="Property"/>
    <tableColumn id="2" xr3:uid="{00000000-0010-0000-0B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 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#'08_Workflow'!A1" TargetMode="External" /><Relationship Id="rId13" Type="http://schemas.openxmlformats.org/officeDocument/2006/relationships/hyperlink" Target="#'13_Connections'!A1" TargetMode="External" /><Relationship Id="rId3" Type="http://schemas.openxmlformats.org/officeDocument/2006/relationships/hyperlink" Target="#'03_Fields'!A1" TargetMode="External" /><Relationship Id="rId7" Type="http://schemas.openxmlformats.org/officeDocument/2006/relationships/hyperlink" Target="#'07_List_Settings'!A1" TargetMode="External" /><Relationship Id="rId12" Type="http://schemas.openxmlformats.org/officeDocument/2006/relationships/hyperlink" Target="#'12_Risks_Controls'!A1" TargetMode="External" /><Relationship Id="rId2" Type="http://schemas.openxmlformats.org/officeDocument/2006/relationships/hyperlink" Target="#'02_Lists'!A1" TargetMode="External" /><Relationship Id="rId1" Type="http://schemas.openxmlformats.org/officeDocument/2006/relationships/hyperlink" Target="#'01_Overview'!A1" TargetMode="External" /><Relationship Id="rId6" Type="http://schemas.openxmlformats.org/officeDocument/2006/relationships/hyperlink" Target="#'06_Unique_Keys'!A1" TargetMode="External" /><Relationship Id="rId11" Type="http://schemas.openxmlformats.org/officeDocument/2006/relationships/hyperlink" Target="#'11_Final_Report'!A1" TargetMode="External" /><Relationship Id="rId5" Type="http://schemas.openxmlformats.org/officeDocument/2006/relationships/hyperlink" Target="#'05_Views'!A1" TargetMode="External" /><Relationship Id="rId10" Type="http://schemas.openxmlformats.org/officeDocument/2006/relationships/hyperlink" Target="#'10_Status_Logging'!A1" TargetMode="External" /><Relationship Id="rId4" Type="http://schemas.openxmlformats.org/officeDocument/2006/relationships/hyperlink" Target="#'04_Config_Seeds'!A1" TargetMode="External" /><Relationship Id="rId9" Type="http://schemas.openxmlformats.org/officeDocument/2006/relationships/hyperlink" Target="#'09_REST_Parameters'!A1" TargetMode="External" /><Relationship Id="rId14" Type="http://schemas.openxmlformats.org/officeDocument/2006/relationships/table" Target="../tables/table1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"/>
  <sheetViews>
    <sheetView showGridLines="0" tabSelected="1" zoomScale="85" workbookViewId="0">
      <pane ySplit="3" topLeftCell="A4" activePane="bottomLeft" state="frozen"/>
      <selection pane="bottomLeft"/>
    </sheetView>
  </sheetViews>
  <sheetFormatPr defaultRowHeight="15" x14ac:dyDescent="0.2"/>
  <cols>
    <col min="1" max="1" width="25.9609375" customWidth="1"/>
    <col min="2" max="8" width="18.0234375" customWidth="1"/>
  </cols>
  <sheetData>
    <row r="1" spans="1:8" ht="30" customHeight="1" x14ac:dyDescent="0.2">
      <c r="A1" s="12" t="s">
        <v>0</v>
      </c>
      <c r="B1" s="10"/>
      <c r="C1" s="10"/>
      <c r="D1" s="10"/>
      <c r="E1" s="10"/>
      <c r="F1" s="10"/>
      <c r="G1" s="10"/>
      <c r="H1" s="10"/>
    </row>
    <row r="2" spans="1:8" ht="32.1" customHeight="1" x14ac:dyDescent="0.2">
      <c r="A2" s="11" t="s">
        <v>1</v>
      </c>
      <c r="B2" s="10"/>
      <c r="C2" s="10"/>
      <c r="D2" s="10"/>
      <c r="E2" s="10"/>
      <c r="F2" s="10"/>
      <c r="G2" s="10"/>
      <c r="H2" s="10"/>
    </row>
    <row r="4" spans="1:8" ht="42" customHeight="1" x14ac:dyDescent="0.2">
      <c r="A4" s="1" t="s">
        <v>2</v>
      </c>
      <c r="B4" s="9" t="s">
        <v>3</v>
      </c>
      <c r="C4" s="10"/>
      <c r="D4" s="10"/>
      <c r="E4" s="10"/>
      <c r="F4" s="10"/>
      <c r="G4" s="10"/>
      <c r="H4" s="10"/>
    </row>
    <row r="5" spans="1:8" ht="42" customHeight="1" x14ac:dyDescent="0.2">
      <c r="A5" s="1" t="s">
        <v>4</v>
      </c>
      <c r="B5" s="9" t="s">
        <v>5</v>
      </c>
      <c r="C5" s="10"/>
      <c r="D5" s="10"/>
      <c r="E5" s="10"/>
      <c r="F5" s="10"/>
      <c r="G5" s="10"/>
      <c r="H5" s="10"/>
    </row>
    <row r="6" spans="1:8" ht="42" customHeight="1" x14ac:dyDescent="0.2">
      <c r="A6" s="1" t="s">
        <v>6</v>
      </c>
      <c r="B6" s="9" t="s">
        <v>7</v>
      </c>
      <c r="C6" s="10"/>
      <c r="D6" s="10"/>
      <c r="E6" s="10"/>
      <c r="F6" s="10"/>
      <c r="G6" s="10"/>
      <c r="H6" s="10"/>
    </row>
    <row r="7" spans="1:8" ht="42" customHeight="1" x14ac:dyDescent="0.2">
      <c r="A7" s="1" t="s">
        <v>8</v>
      </c>
      <c r="B7" s="9" t="s">
        <v>9</v>
      </c>
      <c r="C7" s="10"/>
      <c r="D7" s="10"/>
      <c r="E7" s="10"/>
      <c r="F7" s="10"/>
      <c r="G7" s="10"/>
      <c r="H7" s="10"/>
    </row>
    <row r="8" spans="1:8" ht="42" customHeight="1" x14ac:dyDescent="0.2">
      <c r="A8" s="1" t="s">
        <v>10</v>
      </c>
      <c r="B8" s="9" t="s">
        <v>11</v>
      </c>
      <c r="C8" s="10"/>
      <c r="D8" s="10"/>
      <c r="E8" s="10"/>
      <c r="F8" s="10"/>
      <c r="G8" s="10"/>
      <c r="H8" s="10"/>
    </row>
    <row r="9" spans="1:8" ht="42" customHeight="1" x14ac:dyDescent="0.2">
      <c r="A9" s="1" t="s">
        <v>12</v>
      </c>
      <c r="B9" s="9" t="s">
        <v>13</v>
      </c>
      <c r="C9" s="10"/>
      <c r="D9" s="10"/>
      <c r="E9" s="10"/>
      <c r="F9" s="10"/>
      <c r="G9" s="10"/>
      <c r="H9" s="10"/>
    </row>
    <row r="10" spans="1:8" ht="42" customHeight="1" x14ac:dyDescent="0.2">
      <c r="A10" s="1" t="s">
        <v>14</v>
      </c>
      <c r="B10" s="9" t="s">
        <v>15</v>
      </c>
      <c r="C10" s="10"/>
      <c r="D10" s="10"/>
      <c r="E10" s="10"/>
      <c r="F10" s="10"/>
      <c r="G10" s="10"/>
      <c r="H10" s="10"/>
    </row>
    <row r="11" spans="1:8" ht="42" customHeight="1" x14ac:dyDescent="0.2">
      <c r="A11" s="1" t="s">
        <v>16</v>
      </c>
      <c r="B11" s="9" t="s">
        <v>17</v>
      </c>
      <c r="C11" s="10"/>
      <c r="D11" s="10"/>
      <c r="E11" s="10"/>
      <c r="F11" s="10"/>
      <c r="G11" s="10"/>
      <c r="H11" s="10"/>
    </row>
  </sheetData>
  <mergeCells count="10">
    <mergeCell ref="A1:H1"/>
    <mergeCell ref="B10:H10"/>
    <mergeCell ref="B11:H11"/>
    <mergeCell ref="B5:H5"/>
    <mergeCell ref="B8:H8"/>
    <mergeCell ref="B9:H9"/>
    <mergeCell ref="B4:H4"/>
    <mergeCell ref="A2:H2"/>
    <mergeCell ref="B6:H6"/>
    <mergeCell ref="B7:H7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0"/>
  <sheetViews>
    <sheetView showGridLines="0" zoomScale="85" workbookViewId="0">
      <pane ySplit="4" topLeftCell="A5" activePane="bottomLeft" state="frozen"/>
      <selection pane="bottomLeft"/>
    </sheetView>
  </sheetViews>
  <sheetFormatPr defaultRowHeight="15" x14ac:dyDescent="0.2"/>
  <cols>
    <col min="1" max="1" width="25.01953125" customWidth="1"/>
    <col min="2" max="2" width="11.97265625" customWidth="1"/>
    <col min="3" max="3" width="13.98828125" customWidth="1"/>
    <col min="4" max="5" width="11.97265625" customWidth="1"/>
    <col min="6" max="6" width="41.96875" customWidth="1"/>
    <col min="7" max="7" width="32.015625" customWidth="1"/>
  </cols>
  <sheetData>
    <row r="1" spans="1:7" ht="30" customHeight="1" x14ac:dyDescent="0.2">
      <c r="A1" s="12" t="s">
        <v>18</v>
      </c>
      <c r="B1" s="10"/>
      <c r="C1" s="10"/>
      <c r="D1" s="10"/>
      <c r="E1" s="10"/>
      <c r="F1" s="10"/>
      <c r="G1" s="10"/>
    </row>
    <row r="2" spans="1:7" ht="32.1" customHeight="1" x14ac:dyDescent="0.2">
      <c r="A2" s="11" t="s">
        <v>19</v>
      </c>
      <c r="B2" s="10"/>
      <c r="C2" s="10"/>
      <c r="D2" s="10"/>
      <c r="E2" s="10"/>
      <c r="F2" s="10"/>
      <c r="G2" s="10"/>
    </row>
    <row r="4" spans="1:7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  <row r="5" spans="1:7" x14ac:dyDescent="0.2">
      <c r="A5" s="2" t="s">
        <v>27</v>
      </c>
      <c r="B5" s="2">
        <v>7</v>
      </c>
      <c r="C5" s="2">
        <f>COUNTA('02_Lists'!A5:A11)</f>
        <v>7</v>
      </c>
      <c r="D5" s="2">
        <f>C5-B5</f>
        <v>0</v>
      </c>
      <c r="E5" s="2" t="str">
        <f>IF(D5=0,"Yes","No")</f>
        <v>Yes</v>
      </c>
      <c r="F5" s="2" t="s">
        <v>28</v>
      </c>
      <c r="G5" s="2" t="s">
        <v>29</v>
      </c>
    </row>
    <row r="6" spans="1:7" x14ac:dyDescent="0.2">
      <c r="A6" s="2" t="s">
        <v>30</v>
      </c>
      <c r="B6" s="2">
        <v>101</v>
      </c>
      <c r="C6" s="2">
        <f>COUNTA('03_Fields'!A5:A105)</f>
        <v>101</v>
      </c>
      <c r="D6" s="2">
        <f>C6-B6</f>
        <v>0</v>
      </c>
      <c r="E6" s="2" t="str">
        <f>IF(D6=0,"Yes","No")</f>
        <v>Yes</v>
      </c>
      <c r="F6" s="2" t="s">
        <v>31</v>
      </c>
      <c r="G6" s="2" t="s">
        <v>32</v>
      </c>
    </row>
    <row r="7" spans="1:7" x14ac:dyDescent="0.2">
      <c r="A7" s="2" t="s">
        <v>33</v>
      </c>
      <c r="B7" s="2">
        <v>7</v>
      </c>
      <c r="C7" s="2">
        <f>COUNTA('06_Unique_Keys'!A5:A11)</f>
        <v>7</v>
      </c>
      <c r="D7" s="2">
        <f>C7-B7</f>
        <v>0</v>
      </c>
      <c r="E7" s="2" t="str">
        <f>IF(D7=0,"Yes","No")</f>
        <v>Yes</v>
      </c>
      <c r="F7" s="2" t="s">
        <v>34</v>
      </c>
      <c r="G7" s="2" t="s">
        <v>35</v>
      </c>
    </row>
    <row r="8" spans="1:7" x14ac:dyDescent="0.2">
      <c r="A8" s="2" t="s">
        <v>36</v>
      </c>
      <c r="B8" s="2">
        <v>12</v>
      </c>
      <c r="C8" s="2">
        <f>COUNTA('04_Config_Seeds'!A5:A16)</f>
        <v>12</v>
      </c>
      <c r="D8" s="2">
        <f>C8-B8</f>
        <v>0</v>
      </c>
      <c r="E8" s="2" t="str">
        <f>IF(D8=0,"Yes","No")</f>
        <v>Yes</v>
      </c>
      <c r="F8" s="2" t="s">
        <v>37</v>
      </c>
      <c r="G8" s="2" t="s">
        <v>38</v>
      </c>
    </row>
    <row r="9" spans="1:7" x14ac:dyDescent="0.2">
      <c r="A9" s="2" t="s">
        <v>39</v>
      </c>
      <c r="B9" s="2">
        <v>7</v>
      </c>
      <c r="C9" s="2">
        <f>COUNTA('05_Views'!A5:A11)</f>
        <v>7</v>
      </c>
      <c r="D9" s="2">
        <f>C9-B9</f>
        <v>0</v>
      </c>
      <c r="E9" s="2" t="str">
        <f>IF(D9=0,"Yes","No")</f>
        <v>Yes</v>
      </c>
      <c r="F9" s="2" t="s">
        <v>40</v>
      </c>
      <c r="G9" s="2" t="s">
        <v>41</v>
      </c>
    </row>
    <row r="10" spans="1:7" x14ac:dyDescent="0.2">
      <c r="A10" s="2" t="s">
        <v>42</v>
      </c>
      <c r="B10" s="2">
        <v>7</v>
      </c>
      <c r="C10" s="2">
        <v>7</v>
      </c>
      <c r="D10" s="2">
        <f>C10-B10</f>
        <v>0</v>
      </c>
      <c r="E10" s="2" t="str">
        <f>IF(D10=0,"Yes","No")</f>
        <v>Yes</v>
      </c>
      <c r="F10" s="2" t="s">
        <v>43</v>
      </c>
      <c r="G10" s="2" t="s">
        <v>44</v>
      </c>
    </row>
  </sheetData>
  <mergeCells count="2">
    <mergeCell ref="A2:G2"/>
    <mergeCell ref="A1:G1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1"/>
  <sheetViews>
    <sheetView showGridLines="0" zoomScale="85" workbookViewId="0">
      <pane ySplit="4" topLeftCell="A5" activePane="bottomLeft" state="frozen"/>
      <selection pane="bottomLeft"/>
    </sheetView>
  </sheetViews>
  <sheetFormatPr defaultRowHeight="15" x14ac:dyDescent="0.2"/>
  <cols>
    <col min="1" max="1" width="37.93359375" customWidth="1"/>
    <col min="2" max="2" width="45.0625" customWidth="1"/>
    <col min="3" max="3" width="13.98828125" customWidth="1"/>
    <col min="4" max="4" width="16.0078125" customWidth="1"/>
    <col min="5" max="5" width="22.05859375" customWidth="1"/>
    <col min="6" max="6" width="23.9453125" customWidth="1"/>
    <col min="7" max="7" width="18.0234375" customWidth="1"/>
    <col min="8" max="8" width="20.04296875" customWidth="1"/>
    <col min="9" max="10" width="18.0234375" customWidth="1"/>
    <col min="11" max="11" width="16.0078125" customWidth="1"/>
    <col min="12" max="12" width="14.9296875" customWidth="1"/>
    <col min="13" max="13" width="34.03125" customWidth="1"/>
  </cols>
  <sheetData>
    <row r="1" spans="1:13" ht="30" customHeight="1" x14ac:dyDescent="0.2">
      <c r="A1" s="12" t="s">
        <v>45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2.1" customHeight="1" x14ac:dyDescent="0.2">
      <c r="A2" s="11" t="s">
        <v>46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27.75" x14ac:dyDescent="0.2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39</v>
      </c>
      <c r="G4" s="4" t="s">
        <v>52</v>
      </c>
      <c r="H4" s="4" t="s">
        <v>53</v>
      </c>
      <c r="I4" s="4" t="s">
        <v>54</v>
      </c>
      <c r="J4" s="4" t="s">
        <v>55</v>
      </c>
      <c r="K4" s="4" t="s">
        <v>56</v>
      </c>
      <c r="L4" s="4" t="s">
        <v>57</v>
      </c>
      <c r="M4" s="4" t="s">
        <v>58</v>
      </c>
    </row>
    <row r="5" spans="1:13" x14ac:dyDescent="0.2">
      <c r="A5" s="5" t="s">
        <v>59</v>
      </c>
      <c r="B5" s="5" t="s">
        <v>60</v>
      </c>
      <c r="C5" s="5">
        <v>100</v>
      </c>
      <c r="D5" s="5">
        <v>35</v>
      </c>
      <c r="E5" s="5" t="s">
        <v>61</v>
      </c>
      <c r="F5" s="5" t="s">
        <v>62</v>
      </c>
      <c r="G5" s="5" t="s">
        <v>63</v>
      </c>
      <c r="H5" s="5" t="s">
        <v>63</v>
      </c>
      <c r="I5" s="5" t="s">
        <v>64</v>
      </c>
      <c r="J5" s="5">
        <v>100</v>
      </c>
      <c r="K5" s="5" t="s">
        <v>63</v>
      </c>
      <c r="L5" s="5" t="s">
        <v>63</v>
      </c>
      <c r="M5" s="5" t="s">
        <v>65</v>
      </c>
    </row>
    <row r="6" spans="1:13" x14ac:dyDescent="0.2">
      <c r="A6" s="6" t="s">
        <v>66</v>
      </c>
      <c r="B6" s="6" t="s">
        <v>67</v>
      </c>
      <c r="C6" s="6">
        <v>100</v>
      </c>
      <c r="D6" s="6">
        <v>13</v>
      </c>
      <c r="E6" s="6" t="s">
        <v>68</v>
      </c>
      <c r="F6" s="6" t="s">
        <v>69</v>
      </c>
      <c r="G6" s="6" t="s">
        <v>63</v>
      </c>
      <c r="H6" s="6" t="s">
        <v>63</v>
      </c>
      <c r="I6" s="6" t="s">
        <v>64</v>
      </c>
      <c r="J6" s="6">
        <v>100</v>
      </c>
      <c r="K6" s="6" t="s">
        <v>63</v>
      </c>
      <c r="L6" s="6" t="s">
        <v>63</v>
      </c>
      <c r="M6" s="6" t="s">
        <v>65</v>
      </c>
    </row>
    <row r="7" spans="1:13" x14ac:dyDescent="0.2">
      <c r="A7" s="5" t="s">
        <v>70</v>
      </c>
      <c r="B7" s="5" t="s">
        <v>71</v>
      </c>
      <c r="C7" s="5">
        <v>100</v>
      </c>
      <c r="D7" s="5">
        <v>15</v>
      </c>
      <c r="E7" s="5" t="s">
        <v>72</v>
      </c>
      <c r="F7" s="5" t="s">
        <v>73</v>
      </c>
      <c r="G7" s="5" t="s">
        <v>63</v>
      </c>
      <c r="H7" s="5" t="s">
        <v>63</v>
      </c>
      <c r="I7" s="5" t="s">
        <v>64</v>
      </c>
      <c r="J7" s="5">
        <v>100</v>
      </c>
      <c r="K7" s="5" t="s">
        <v>63</v>
      </c>
      <c r="L7" s="5" t="s">
        <v>63</v>
      </c>
      <c r="M7" s="5" t="s">
        <v>65</v>
      </c>
    </row>
    <row r="8" spans="1:13" x14ac:dyDescent="0.2">
      <c r="A8" s="6" t="s">
        <v>74</v>
      </c>
      <c r="B8" s="6" t="s">
        <v>75</v>
      </c>
      <c r="C8" s="6">
        <v>100</v>
      </c>
      <c r="D8" s="6">
        <v>9</v>
      </c>
      <c r="E8" s="6" t="s">
        <v>76</v>
      </c>
      <c r="F8" s="6" t="s">
        <v>69</v>
      </c>
      <c r="G8" s="6" t="s">
        <v>63</v>
      </c>
      <c r="H8" s="6" t="s">
        <v>63</v>
      </c>
      <c r="I8" s="6" t="s">
        <v>64</v>
      </c>
      <c r="J8" s="6">
        <v>100</v>
      </c>
      <c r="K8" s="6" t="s">
        <v>63</v>
      </c>
      <c r="L8" s="6" t="s">
        <v>63</v>
      </c>
      <c r="M8" s="6" t="s">
        <v>65</v>
      </c>
    </row>
    <row r="9" spans="1:13" x14ac:dyDescent="0.2">
      <c r="A9" s="5" t="s">
        <v>77</v>
      </c>
      <c r="B9" s="5" t="s">
        <v>78</v>
      </c>
      <c r="C9" s="5">
        <v>100</v>
      </c>
      <c r="D9" s="5">
        <v>12</v>
      </c>
      <c r="E9" s="5" t="s">
        <v>79</v>
      </c>
      <c r="F9" s="5" t="s">
        <v>80</v>
      </c>
      <c r="G9" s="5" t="s">
        <v>63</v>
      </c>
      <c r="H9" s="5" t="s">
        <v>63</v>
      </c>
      <c r="I9" s="5" t="s">
        <v>64</v>
      </c>
      <c r="J9" s="5">
        <v>100</v>
      </c>
      <c r="K9" s="5" t="s">
        <v>63</v>
      </c>
      <c r="L9" s="5" t="s">
        <v>63</v>
      </c>
      <c r="M9" s="5" t="s">
        <v>65</v>
      </c>
    </row>
    <row r="10" spans="1:13" x14ac:dyDescent="0.2">
      <c r="A10" s="6" t="s">
        <v>81</v>
      </c>
      <c r="B10" s="6" t="s">
        <v>82</v>
      </c>
      <c r="C10" s="6">
        <v>100</v>
      </c>
      <c r="D10" s="6">
        <v>6</v>
      </c>
      <c r="E10" s="6" t="s">
        <v>83</v>
      </c>
      <c r="F10" s="6" t="s">
        <v>69</v>
      </c>
      <c r="G10" s="6" t="s">
        <v>63</v>
      </c>
      <c r="H10" s="6" t="s">
        <v>63</v>
      </c>
      <c r="I10" s="6" t="s">
        <v>64</v>
      </c>
      <c r="J10" s="6">
        <v>100</v>
      </c>
      <c r="K10" s="6" t="s">
        <v>63</v>
      </c>
      <c r="L10" s="6" t="s">
        <v>63</v>
      </c>
      <c r="M10" s="6" t="s">
        <v>65</v>
      </c>
    </row>
    <row r="11" spans="1:13" x14ac:dyDescent="0.2">
      <c r="A11" s="5" t="s">
        <v>84</v>
      </c>
      <c r="B11" s="5" t="s">
        <v>85</v>
      </c>
      <c r="C11" s="5">
        <v>100</v>
      </c>
      <c r="D11" s="5">
        <v>11</v>
      </c>
      <c r="E11" s="5" t="s">
        <v>86</v>
      </c>
      <c r="F11" s="5" t="s">
        <v>87</v>
      </c>
      <c r="G11" s="5" t="s">
        <v>63</v>
      </c>
      <c r="H11" s="5" t="s">
        <v>63</v>
      </c>
      <c r="I11" s="5" t="s">
        <v>64</v>
      </c>
      <c r="J11" s="5">
        <v>100</v>
      </c>
      <c r="K11" s="5" t="s">
        <v>63</v>
      </c>
      <c r="L11" s="5" t="s">
        <v>63</v>
      </c>
      <c r="M11" s="5" t="s">
        <v>65</v>
      </c>
    </row>
  </sheetData>
  <mergeCells count="2">
    <mergeCell ref="A2:M2"/>
    <mergeCell ref="A1:M1"/>
  </mergeCells>
  <pageMargins left="0.75" right="0.7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05"/>
  <sheetViews>
    <sheetView showGridLines="0" zoomScale="85" workbookViewId="0">
      <pane ySplit="4" topLeftCell="A5" activePane="bottomLeft" state="frozen"/>
      <selection pane="bottomLeft"/>
    </sheetView>
  </sheetViews>
  <sheetFormatPr defaultRowHeight="15" x14ac:dyDescent="0.2"/>
  <cols>
    <col min="1" max="1" width="6.9921875" customWidth="1"/>
    <col min="2" max="2" width="39.01171875" customWidth="1"/>
    <col min="3" max="4" width="27.0390625" customWidth="1"/>
    <col min="5" max="5" width="20.984375" customWidth="1"/>
    <col min="6" max="6" width="11.02734375" customWidth="1"/>
    <col min="7" max="8" width="9.953125" customWidth="1"/>
    <col min="9" max="9" width="37.93359375" customWidth="1"/>
    <col min="10" max="10" width="41.96875" customWidth="1"/>
    <col min="11" max="11" width="27.98046875" customWidth="1"/>
    <col min="12" max="12" width="94.97265625" customWidth="1"/>
    <col min="13" max="13" width="34.97265625" customWidth="1"/>
  </cols>
  <sheetData>
    <row r="1" spans="1:13" ht="30" customHeight="1" x14ac:dyDescent="0.2">
      <c r="A1" s="12" t="s">
        <v>88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2.1" customHeight="1" x14ac:dyDescent="0.2">
      <c r="A2" s="11" t="s">
        <v>89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x14ac:dyDescent="0.2">
      <c r="A4" s="4" t="s">
        <v>90</v>
      </c>
      <c r="B4" s="4" t="s">
        <v>91</v>
      </c>
      <c r="C4" s="4" t="s">
        <v>92</v>
      </c>
      <c r="D4" s="4" t="s">
        <v>93</v>
      </c>
      <c r="E4" s="4" t="s">
        <v>94</v>
      </c>
      <c r="F4" s="4" t="s">
        <v>95</v>
      </c>
      <c r="G4" s="4" t="s">
        <v>96</v>
      </c>
      <c r="H4" s="4" t="s">
        <v>97</v>
      </c>
      <c r="I4" s="4" t="s">
        <v>98</v>
      </c>
      <c r="J4" s="4" t="s">
        <v>99</v>
      </c>
      <c r="K4" s="4" t="s">
        <v>100</v>
      </c>
      <c r="L4" s="4" t="s">
        <v>101</v>
      </c>
      <c r="M4" s="4" t="s">
        <v>58</v>
      </c>
    </row>
    <row r="5" spans="1:13" ht="27.75" x14ac:dyDescent="0.2">
      <c r="A5" s="5">
        <v>1</v>
      </c>
      <c r="B5" s="5" t="s">
        <v>59</v>
      </c>
      <c r="C5" s="5" t="s">
        <v>61</v>
      </c>
      <c r="D5" s="5" t="s">
        <v>61</v>
      </c>
      <c r="E5" s="5" t="s">
        <v>102</v>
      </c>
      <c r="F5" s="5" t="s">
        <v>64</v>
      </c>
      <c r="G5" s="5" t="s">
        <v>64</v>
      </c>
      <c r="H5" s="5" t="s">
        <v>64</v>
      </c>
      <c r="I5" s="5" t="s">
        <v>103</v>
      </c>
      <c r="J5" s="5" t="s">
        <v>104</v>
      </c>
      <c r="K5" s="5" t="s">
        <v>105</v>
      </c>
      <c r="L5" s="5" t="s">
        <v>106</v>
      </c>
      <c r="M5" s="5" t="s">
        <v>107</v>
      </c>
    </row>
    <row r="6" spans="1:13" ht="27.75" x14ac:dyDescent="0.2">
      <c r="A6" s="6">
        <v>2</v>
      </c>
      <c r="B6" s="6" t="s">
        <v>59</v>
      </c>
      <c r="C6" s="6" t="s">
        <v>108</v>
      </c>
      <c r="D6" s="6" t="s">
        <v>108</v>
      </c>
      <c r="E6" s="6" t="s">
        <v>102</v>
      </c>
      <c r="F6" s="6" t="s">
        <v>64</v>
      </c>
      <c r="G6" s="6" t="s">
        <v>64</v>
      </c>
      <c r="H6" s="6" t="s">
        <v>63</v>
      </c>
      <c r="I6" s="6" t="s">
        <v>103</v>
      </c>
      <c r="J6" s="6" t="s">
        <v>109</v>
      </c>
      <c r="K6" s="6" t="s">
        <v>105</v>
      </c>
      <c r="L6" s="6" t="s">
        <v>110</v>
      </c>
      <c r="M6" s="6" t="s">
        <v>107</v>
      </c>
    </row>
    <row r="7" spans="1:13" ht="27.75" x14ac:dyDescent="0.2">
      <c r="A7" s="5">
        <v>3</v>
      </c>
      <c r="B7" s="5" t="s">
        <v>59</v>
      </c>
      <c r="C7" s="5" t="s">
        <v>111</v>
      </c>
      <c r="D7" s="5" t="s">
        <v>111</v>
      </c>
      <c r="E7" s="5" t="s">
        <v>102</v>
      </c>
      <c r="F7" s="5" t="s">
        <v>64</v>
      </c>
      <c r="G7" s="5" t="s">
        <v>64</v>
      </c>
      <c r="H7" s="5" t="s">
        <v>63</v>
      </c>
      <c r="I7" s="5" t="s">
        <v>103</v>
      </c>
      <c r="J7" s="5" t="s">
        <v>112</v>
      </c>
      <c r="K7" s="5" t="s">
        <v>105</v>
      </c>
      <c r="L7" s="5" t="s">
        <v>113</v>
      </c>
      <c r="M7" s="5" t="s">
        <v>107</v>
      </c>
    </row>
    <row r="8" spans="1:13" ht="27.75" x14ac:dyDescent="0.2">
      <c r="A8" s="6">
        <v>4</v>
      </c>
      <c r="B8" s="6" t="s">
        <v>59</v>
      </c>
      <c r="C8" s="6" t="s">
        <v>114</v>
      </c>
      <c r="D8" s="6" t="s">
        <v>114</v>
      </c>
      <c r="E8" s="6" t="s">
        <v>102</v>
      </c>
      <c r="F8" s="6" t="s">
        <v>63</v>
      </c>
      <c r="G8" s="6" t="s">
        <v>63</v>
      </c>
      <c r="H8" s="6" t="s">
        <v>63</v>
      </c>
      <c r="I8" s="6" t="s">
        <v>103</v>
      </c>
      <c r="J8" s="6" t="s">
        <v>115</v>
      </c>
      <c r="K8" s="6" t="s">
        <v>105</v>
      </c>
      <c r="L8" s="6" t="s">
        <v>116</v>
      </c>
      <c r="M8" s="6" t="s">
        <v>107</v>
      </c>
    </row>
    <row r="9" spans="1:13" ht="27.75" x14ac:dyDescent="0.2">
      <c r="A9" s="5">
        <v>5</v>
      </c>
      <c r="B9" s="5" t="s">
        <v>59</v>
      </c>
      <c r="C9" s="5" t="s">
        <v>117</v>
      </c>
      <c r="D9" s="5" t="s">
        <v>117</v>
      </c>
      <c r="E9" s="5" t="s">
        <v>102</v>
      </c>
      <c r="F9" s="5" t="s">
        <v>64</v>
      </c>
      <c r="G9" s="5" t="s">
        <v>64</v>
      </c>
      <c r="H9" s="5" t="s">
        <v>63</v>
      </c>
      <c r="I9" s="5" t="s">
        <v>103</v>
      </c>
      <c r="J9" s="5" t="s">
        <v>118</v>
      </c>
      <c r="K9" s="5" t="s">
        <v>105</v>
      </c>
      <c r="L9" s="5" t="s">
        <v>119</v>
      </c>
      <c r="M9" s="5" t="s">
        <v>107</v>
      </c>
    </row>
    <row r="10" spans="1:13" ht="27.75" x14ac:dyDescent="0.2">
      <c r="A10" s="6">
        <v>6</v>
      </c>
      <c r="B10" s="6" t="s">
        <v>59</v>
      </c>
      <c r="C10" s="6" t="s">
        <v>120</v>
      </c>
      <c r="D10" s="6" t="s">
        <v>120</v>
      </c>
      <c r="E10" s="6" t="s">
        <v>102</v>
      </c>
      <c r="F10" s="6" t="s">
        <v>64</v>
      </c>
      <c r="G10" s="6" t="s">
        <v>64</v>
      </c>
      <c r="H10" s="6" t="s">
        <v>63</v>
      </c>
      <c r="I10" s="6" t="s">
        <v>103</v>
      </c>
      <c r="J10" s="6" t="s">
        <v>121</v>
      </c>
      <c r="K10" s="6" t="s">
        <v>105</v>
      </c>
      <c r="L10" s="6" t="s">
        <v>122</v>
      </c>
      <c r="M10" s="6" t="s">
        <v>107</v>
      </c>
    </row>
    <row r="11" spans="1:13" ht="27.75" x14ac:dyDescent="0.2">
      <c r="A11" s="5">
        <v>7</v>
      </c>
      <c r="B11" s="5" t="s">
        <v>59</v>
      </c>
      <c r="C11" s="5" t="s">
        <v>123</v>
      </c>
      <c r="D11" s="5" t="s">
        <v>123</v>
      </c>
      <c r="E11" s="5" t="s">
        <v>124</v>
      </c>
      <c r="F11" s="5" t="s">
        <v>63</v>
      </c>
      <c r="G11" s="5" t="s">
        <v>63</v>
      </c>
      <c r="H11" s="5" t="s">
        <v>63</v>
      </c>
      <c r="I11" s="5" t="s">
        <v>125</v>
      </c>
      <c r="J11" s="5" t="s">
        <v>126</v>
      </c>
      <c r="K11" s="5" t="s">
        <v>105</v>
      </c>
      <c r="L11" s="5" t="s">
        <v>127</v>
      </c>
      <c r="M11" s="5" t="s">
        <v>107</v>
      </c>
    </row>
    <row r="12" spans="1:13" ht="27.75" x14ac:dyDescent="0.2">
      <c r="A12" s="6">
        <v>8</v>
      </c>
      <c r="B12" s="6" t="s">
        <v>59</v>
      </c>
      <c r="C12" s="6" t="s">
        <v>128</v>
      </c>
      <c r="D12" s="6" t="s">
        <v>128</v>
      </c>
      <c r="E12" s="6" t="s">
        <v>124</v>
      </c>
      <c r="F12" s="6" t="s">
        <v>63</v>
      </c>
      <c r="G12" s="6" t="s">
        <v>63</v>
      </c>
      <c r="H12" s="6" t="s">
        <v>63</v>
      </c>
      <c r="I12" s="6" t="s">
        <v>125</v>
      </c>
      <c r="J12" s="6" t="s">
        <v>129</v>
      </c>
      <c r="K12" s="6" t="s">
        <v>105</v>
      </c>
      <c r="L12" s="6" t="s">
        <v>130</v>
      </c>
      <c r="M12" s="6" t="s">
        <v>107</v>
      </c>
    </row>
    <row r="13" spans="1:13" ht="41.25" x14ac:dyDescent="0.2">
      <c r="A13" s="5">
        <v>9</v>
      </c>
      <c r="B13" s="5" t="s">
        <v>59</v>
      </c>
      <c r="C13" s="5" t="s">
        <v>131</v>
      </c>
      <c r="D13" s="5" t="s">
        <v>131</v>
      </c>
      <c r="E13" s="5" t="s">
        <v>102</v>
      </c>
      <c r="F13" s="5" t="s">
        <v>64</v>
      </c>
      <c r="G13" s="5" t="s">
        <v>64</v>
      </c>
      <c r="H13" s="5" t="s">
        <v>63</v>
      </c>
      <c r="I13" s="5" t="s">
        <v>103</v>
      </c>
      <c r="J13" s="5" t="s">
        <v>132</v>
      </c>
      <c r="K13" s="5" t="s">
        <v>105</v>
      </c>
      <c r="L13" s="5" t="s">
        <v>133</v>
      </c>
      <c r="M13" s="5" t="s">
        <v>107</v>
      </c>
    </row>
    <row r="14" spans="1:13" ht="27.75" x14ac:dyDescent="0.2">
      <c r="A14" s="6">
        <v>10</v>
      </c>
      <c r="B14" s="6" t="s">
        <v>59</v>
      </c>
      <c r="C14" s="6" t="s">
        <v>134</v>
      </c>
      <c r="D14" s="6" t="s">
        <v>134</v>
      </c>
      <c r="E14" s="6" t="s">
        <v>102</v>
      </c>
      <c r="F14" s="6" t="s">
        <v>63</v>
      </c>
      <c r="G14" s="6" t="s">
        <v>63</v>
      </c>
      <c r="H14" s="6" t="s">
        <v>63</v>
      </c>
      <c r="I14" s="6" t="s">
        <v>103</v>
      </c>
      <c r="J14" s="6" t="s">
        <v>135</v>
      </c>
      <c r="K14" s="6" t="s">
        <v>105</v>
      </c>
      <c r="L14" s="6" t="s">
        <v>136</v>
      </c>
      <c r="M14" s="6" t="s">
        <v>107</v>
      </c>
    </row>
    <row r="15" spans="1:13" ht="27.75" x14ac:dyDescent="0.2">
      <c r="A15" s="5">
        <v>11</v>
      </c>
      <c r="B15" s="5" t="s">
        <v>59</v>
      </c>
      <c r="C15" s="5" t="s">
        <v>137</v>
      </c>
      <c r="D15" s="5" t="s">
        <v>137</v>
      </c>
      <c r="E15" s="5" t="s">
        <v>102</v>
      </c>
      <c r="F15" s="5" t="s">
        <v>63</v>
      </c>
      <c r="G15" s="5" t="s">
        <v>63</v>
      </c>
      <c r="H15" s="5" t="s">
        <v>63</v>
      </c>
      <c r="I15" s="5" t="s">
        <v>103</v>
      </c>
      <c r="J15" s="5" t="s">
        <v>138</v>
      </c>
      <c r="K15" s="5" t="s">
        <v>105</v>
      </c>
      <c r="L15" s="5" t="s">
        <v>139</v>
      </c>
      <c r="M15" s="5" t="s">
        <v>107</v>
      </c>
    </row>
    <row r="16" spans="1:13" ht="27.75" x14ac:dyDescent="0.2">
      <c r="A16" s="6">
        <v>12</v>
      </c>
      <c r="B16" s="6" t="s">
        <v>59</v>
      </c>
      <c r="C16" s="6" t="s">
        <v>140</v>
      </c>
      <c r="D16" s="6" t="s">
        <v>140</v>
      </c>
      <c r="E16" s="6" t="s">
        <v>102</v>
      </c>
      <c r="F16" s="6" t="s">
        <v>64</v>
      </c>
      <c r="G16" s="6" t="s">
        <v>63</v>
      </c>
      <c r="H16" s="6" t="s">
        <v>63</v>
      </c>
      <c r="I16" s="6" t="s">
        <v>103</v>
      </c>
      <c r="J16" s="6" t="s">
        <v>141</v>
      </c>
      <c r="K16" s="6" t="s">
        <v>105</v>
      </c>
      <c r="L16" s="6" t="s">
        <v>142</v>
      </c>
      <c r="M16" s="6" t="s">
        <v>107</v>
      </c>
    </row>
    <row r="17" spans="1:13" ht="27.75" x14ac:dyDescent="0.2">
      <c r="A17" s="5">
        <v>13</v>
      </c>
      <c r="B17" s="5" t="s">
        <v>59</v>
      </c>
      <c r="C17" s="5" t="s">
        <v>143</v>
      </c>
      <c r="D17" s="5" t="s">
        <v>143</v>
      </c>
      <c r="E17" s="5" t="s">
        <v>124</v>
      </c>
      <c r="F17" s="5" t="s">
        <v>63</v>
      </c>
      <c r="G17" s="5" t="s">
        <v>63</v>
      </c>
      <c r="H17" s="5" t="s">
        <v>63</v>
      </c>
      <c r="I17" s="5" t="s">
        <v>125</v>
      </c>
      <c r="J17" s="5" t="s">
        <v>144</v>
      </c>
      <c r="K17" s="5" t="s">
        <v>105</v>
      </c>
      <c r="L17" s="5" t="s">
        <v>145</v>
      </c>
      <c r="M17" s="5" t="s">
        <v>107</v>
      </c>
    </row>
    <row r="18" spans="1:13" ht="27.75" x14ac:dyDescent="0.2">
      <c r="A18" s="6">
        <v>14</v>
      </c>
      <c r="B18" s="6" t="s">
        <v>59</v>
      </c>
      <c r="C18" s="6" t="s">
        <v>146</v>
      </c>
      <c r="D18" s="6" t="s">
        <v>146</v>
      </c>
      <c r="E18" s="6" t="s">
        <v>102</v>
      </c>
      <c r="F18" s="6" t="s">
        <v>63</v>
      </c>
      <c r="G18" s="6" t="s">
        <v>64</v>
      </c>
      <c r="H18" s="6" t="s">
        <v>63</v>
      </c>
      <c r="I18" s="6" t="s">
        <v>103</v>
      </c>
      <c r="J18" s="6" t="s">
        <v>147</v>
      </c>
      <c r="K18" s="6" t="s">
        <v>105</v>
      </c>
      <c r="L18" s="6" t="s">
        <v>148</v>
      </c>
      <c r="M18" s="6" t="s">
        <v>107</v>
      </c>
    </row>
    <row r="19" spans="1:13" ht="27.75" x14ac:dyDescent="0.2">
      <c r="A19" s="5">
        <v>15</v>
      </c>
      <c r="B19" s="5" t="s">
        <v>59</v>
      </c>
      <c r="C19" s="5" t="s">
        <v>149</v>
      </c>
      <c r="D19" s="5" t="s">
        <v>149</v>
      </c>
      <c r="E19" s="5" t="s">
        <v>102</v>
      </c>
      <c r="F19" s="5" t="s">
        <v>64</v>
      </c>
      <c r="G19" s="5" t="s">
        <v>63</v>
      </c>
      <c r="H19" s="5" t="s">
        <v>63</v>
      </c>
      <c r="I19" s="5" t="s">
        <v>103</v>
      </c>
      <c r="J19" s="5" t="s">
        <v>150</v>
      </c>
      <c r="K19" s="5" t="s">
        <v>105</v>
      </c>
      <c r="L19" s="5" t="s">
        <v>151</v>
      </c>
      <c r="M19" s="5" t="s">
        <v>107</v>
      </c>
    </row>
    <row r="20" spans="1:13" ht="27.75" x14ac:dyDescent="0.2">
      <c r="A20" s="6">
        <v>16</v>
      </c>
      <c r="B20" s="6" t="s">
        <v>59</v>
      </c>
      <c r="C20" s="6" t="s">
        <v>152</v>
      </c>
      <c r="D20" s="6" t="s">
        <v>152</v>
      </c>
      <c r="E20" s="6" t="s">
        <v>102</v>
      </c>
      <c r="F20" s="6" t="s">
        <v>64</v>
      </c>
      <c r="G20" s="6" t="s">
        <v>63</v>
      </c>
      <c r="H20" s="6" t="s">
        <v>63</v>
      </c>
      <c r="I20" s="6" t="s">
        <v>103</v>
      </c>
      <c r="J20" s="6" t="s">
        <v>153</v>
      </c>
      <c r="K20" s="6" t="s">
        <v>105</v>
      </c>
      <c r="L20" s="6" t="s">
        <v>154</v>
      </c>
      <c r="M20" s="6" t="s">
        <v>107</v>
      </c>
    </row>
    <row r="21" spans="1:13" ht="27.75" x14ac:dyDescent="0.2">
      <c r="A21" s="5">
        <v>17</v>
      </c>
      <c r="B21" s="5" t="s">
        <v>59</v>
      </c>
      <c r="C21" s="5" t="s">
        <v>155</v>
      </c>
      <c r="D21" s="5" t="s">
        <v>155</v>
      </c>
      <c r="E21" s="5" t="s">
        <v>102</v>
      </c>
      <c r="F21" s="5" t="s">
        <v>64</v>
      </c>
      <c r="G21" s="5" t="s">
        <v>64</v>
      </c>
      <c r="H21" s="5" t="s">
        <v>63</v>
      </c>
      <c r="I21" s="5" t="s">
        <v>103</v>
      </c>
      <c r="J21" s="5" t="s">
        <v>156</v>
      </c>
      <c r="K21" s="5" t="s">
        <v>105</v>
      </c>
      <c r="L21" s="5" t="s">
        <v>157</v>
      </c>
      <c r="M21" s="5" t="s">
        <v>107</v>
      </c>
    </row>
    <row r="22" spans="1:13" ht="27.75" x14ac:dyDescent="0.2">
      <c r="A22" s="6">
        <v>18</v>
      </c>
      <c r="B22" s="6" t="s">
        <v>59</v>
      </c>
      <c r="C22" s="6" t="s">
        <v>158</v>
      </c>
      <c r="D22" s="6" t="s">
        <v>158</v>
      </c>
      <c r="E22" s="6" t="s">
        <v>102</v>
      </c>
      <c r="F22" s="6" t="s">
        <v>64</v>
      </c>
      <c r="G22" s="6" t="s">
        <v>64</v>
      </c>
      <c r="H22" s="6" t="s">
        <v>63</v>
      </c>
      <c r="I22" s="6" t="s">
        <v>103</v>
      </c>
      <c r="J22" s="6" t="s">
        <v>159</v>
      </c>
      <c r="K22" s="6" t="s">
        <v>105</v>
      </c>
      <c r="L22" s="6" t="s">
        <v>160</v>
      </c>
      <c r="M22" s="6" t="s">
        <v>107</v>
      </c>
    </row>
    <row r="23" spans="1:13" ht="27.75" x14ac:dyDescent="0.2">
      <c r="A23" s="5">
        <v>19</v>
      </c>
      <c r="B23" s="5" t="s">
        <v>59</v>
      </c>
      <c r="C23" s="5" t="s">
        <v>161</v>
      </c>
      <c r="D23" s="5" t="s">
        <v>161</v>
      </c>
      <c r="E23" s="5" t="s">
        <v>102</v>
      </c>
      <c r="F23" s="5" t="s">
        <v>64</v>
      </c>
      <c r="G23" s="5" t="s">
        <v>63</v>
      </c>
      <c r="H23" s="5" t="s">
        <v>63</v>
      </c>
      <c r="I23" s="5" t="s">
        <v>103</v>
      </c>
      <c r="J23" s="5" t="s">
        <v>162</v>
      </c>
      <c r="K23" s="5" t="s">
        <v>105</v>
      </c>
      <c r="L23" s="5" t="s">
        <v>163</v>
      </c>
      <c r="M23" s="5" t="s">
        <v>107</v>
      </c>
    </row>
    <row r="24" spans="1:13" ht="41.25" x14ac:dyDescent="0.2">
      <c r="A24" s="6">
        <v>20</v>
      </c>
      <c r="B24" s="6" t="s">
        <v>59</v>
      </c>
      <c r="C24" s="6" t="s">
        <v>164</v>
      </c>
      <c r="D24" s="6" t="s">
        <v>164</v>
      </c>
      <c r="E24" s="6" t="s">
        <v>102</v>
      </c>
      <c r="F24" s="6" t="s">
        <v>63</v>
      </c>
      <c r="G24" s="6" t="s">
        <v>64</v>
      </c>
      <c r="H24" s="6" t="s">
        <v>63</v>
      </c>
      <c r="I24" s="6" t="s">
        <v>103</v>
      </c>
      <c r="J24" s="6" t="s">
        <v>165</v>
      </c>
      <c r="K24" s="6" t="s">
        <v>105</v>
      </c>
      <c r="L24" s="6" t="s">
        <v>166</v>
      </c>
      <c r="M24" s="6" t="s">
        <v>107</v>
      </c>
    </row>
    <row r="25" spans="1:13" ht="41.25" x14ac:dyDescent="0.2">
      <c r="A25" s="5">
        <v>21</v>
      </c>
      <c r="B25" s="5" t="s">
        <v>59</v>
      </c>
      <c r="C25" s="5" t="s">
        <v>167</v>
      </c>
      <c r="D25" s="5" t="s">
        <v>167</v>
      </c>
      <c r="E25" s="5" t="s">
        <v>124</v>
      </c>
      <c r="F25" s="5" t="s">
        <v>63</v>
      </c>
      <c r="G25" s="5" t="s">
        <v>63</v>
      </c>
      <c r="H25" s="5" t="s">
        <v>63</v>
      </c>
      <c r="I25" s="5" t="s">
        <v>125</v>
      </c>
      <c r="J25" s="5" t="s">
        <v>168</v>
      </c>
      <c r="K25" s="5" t="s">
        <v>105</v>
      </c>
      <c r="L25" s="5" t="s">
        <v>169</v>
      </c>
      <c r="M25" s="5" t="s">
        <v>107</v>
      </c>
    </row>
    <row r="26" spans="1:13" ht="41.25" x14ac:dyDescent="0.2">
      <c r="A26" s="6">
        <v>22</v>
      </c>
      <c r="B26" s="6" t="s">
        <v>59</v>
      </c>
      <c r="C26" s="6" t="s">
        <v>170</v>
      </c>
      <c r="D26" s="6" t="s">
        <v>170</v>
      </c>
      <c r="E26" s="6" t="s">
        <v>124</v>
      </c>
      <c r="F26" s="6" t="s">
        <v>63</v>
      </c>
      <c r="G26" s="6" t="s">
        <v>63</v>
      </c>
      <c r="H26" s="6" t="s">
        <v>63</v>
      </c>
      <c r="I26" s="6" t="s">
        <v>125</v>
      </c>
      <c r="J26" s="6" t="s">
        <v>171</v>
      </c>
      <c r="K26" s="6" t="s">
        <v>105</v>
      </c>
      <c r="L26" s="6" t="s">
        <v>172</v>
      </c>
      <c r="M26" s="6" t="s">
        <v>107</v>
      </c>
    </row>
    <row r="27" spans="1:13" ht="41.25" x14ac:dyDescent="0.2">
      <c r="A27" s="5">
        <v>23</v>
      </c>
      <c r="B27" s="5" t="s">
        <v>59</v>
      </c>
      <c r="C27" s="5" t="s">
        <v>173</v>
      </c>
      <c r="D27" s="5" t="s">
        <v>173</v>
      </c>
      <c r="E27" s="5" t="s">
        <v>174</v>
      </c>
      <c r="F27" s="5" t="s">
        <v>64</v>
      </c>
      <c r="G27" s="5" t="s">
        <v>64</v>
      </c>
      <c r="H27" s="5" t="s">
        <v>63</v>
      </c>
      <c r="I27" s="5" t="s">
        <v>175</v>
      </c>
      <c r="J27" s="5" t="s">
        <v>176</v>
      </c>
      <c r="K27" s="5" t="s">
        <v>105</v>
      </c>
      <c r="L27" s="5" t="s">
        <v>177</v>
      </c>
      <c r="M27" s="5" t="s">
        <v>107</v>
      </c>
    </row>
    <row r="28" spans="1:13" ht="27.75" x14ac:dyDescent="0.2">
      <c r="A28" s="6">
        <v>24</v>
      </c>
      <c r="B28" s="6" t="s">
        <v>59</v>
      </c>
      <c r="C28" s="6" t="s">
        <v>178</v>
      </c>
      <c r="D28" s="6" t="s">
        <v>178</v>
      </c>
      <c r="E28" s="6" t="s">
        <v>174</v>
      </c>
      <c r="F28" s="6" t="s">
        <v>64</v>
      </c>
      <c r="G28" s="6" t="s">
        <v>64</v>
      </c>
      <c r="H28" s="6" t="s">
        <v>63</v>
      </c>
      <c r="I28" s="6" t="s">
        <v>175</v>
      </c>
      <c r="J28" s="6" t="s">
        <v>179</v>
      </c>
      <c r="K28" s="6" t="s">
        <v>105</v>
      </c>
      <c r="L28" s="6" t="s">
        <v>180</v>
      </c>
      <c r="M28" s="6" t="s">
        <v>107</v>
      </c>
    </row>
    <row r="29" spans="1:13" ht="41.25" x14ac:dyDescent="0.2">
      <c r="A29" s="5">
        <v>25</v>
      </c>
      <c r="B29" s="5" t="s">
        <v>59</v>
      </c>
      <c r="C29" s="5" t="s">
        <v>181</v>
      </c>
      <c r="D29" s="5" t="s">
        <v>181</v>
      </c>
      <c r="E29" s="5" t="s">
        <v>174</v>
      </c>
      <c r="F29" s="5" t="s">
        <v>63</v>
      </c>
      <c r="G29" s="5" t="s">
        <v>63</v>
      </c>
      <c r="H29" s="5" t="s">
        <v>63</v>
      </c>
      <c r="I29" s="5" t="s">
        <v>175</v>
      </c>
      <c r="J29" s="5" t="s">
        <v>182</v>
      </c>
      <c r="K29" s="5" t="s">
        <v>105</v>
      </c>
      <c r="L29" s="5" t="s">
        <v>183</v>
      </c>
      <c r="M29" s="5" t="s">
        <v>107</v>
      </c>
    </row>
    <row r="30" spans="1:13" ht="27.75" x14ac:dyDescent="0.2">
      <c r="A30" s="6">
        <v>26</v>
      </c>
      <c r="B30" s="6" t="s">
        <v>59</v>
      </c>
      <c r="C30" s="6" t="s">
        <v>184</v>
      </c>
      <c r="D30" s="6" t="s">
        <v>184</v>
      </c>
      <c r="E30" s="6" t="s">
        <v>174</v>
      </c>
      <c r="F30" s="6" t="s">
        <v>63</v>
      </c>
      <c r="G30" s="6" t="s">
        <v>63</v>
      </c>
      <c r="H30" s="6" t="s">
        <v>63</v>
      </c>
      <c r="I30" s="6" t="s">
        <v>175</v>
      </c>
      <c r="J30" s="6" t="s">
        <v>185</v>
      </c>
      <c r="K30" s="6" t="s">
        <v>105</v>
      </c>
      <c r="L30" s="6" t="s">
        <v>186</v>
      </c>
      <c r="M30" s="6" t="s">
        <v>107</v>
      </c>
    </row>
    <row r="31" spans="1:13" ht="27.75" x14ac:dyDescent="0.2">
      <c r="A31" s="5">
        <v>27</v>
      </c>
      <c r="B31" s="5" t="s">
        <v>59</v>
      </c>
      <c r="C31" s="5" t="s">
        <v>187</v>
      </c>
      <c r="D31" s="5" t="s">
        <v>187</v>
      </c>
      <c r="E31" s="5" t="s">
        <v>174</v>
      </c>
      <c r="F31" s="5" t="s">
        <v>63</v>
      </c>
      <c r="G31" s="5" t="s">
        <v>63</v>
      </c>
      <c r="H31" s="5" t="s">
        <v>63</v>
      </c>
      <c r="I31" s="5" t="s">
        <v>175</v>
      </c>
      <c r="J31" s="5" t="s">
        <v>188</v>
      </c>
      <c r="K31" s="5" t="s">
        <v>105</v>
      </c>
      <c r="L31" s="5" t="s">
        <v>189</v>
      </c>
      <c r="M31" s="5" t="s">
        <v>107</v>
      </c>
    </row>
    <row r="32" spans="1:13" ht="27.75" x14ac:dyDescent="0.2">
      <c r="A32" s="6">
        <v>28</v>
      </c>
      <c r="B32" s="6" t="s">
        <v>59</v>
      </c>
      <c r="C32" s="6" t="s">
        <v>190</v>
      </c>
      <c r="D32" s="6" t="s">
        <v>190</v>
      </c>
      <c r="E32" s="6" t="s">
        <v>191</v>
      </c>
      <c r="F32" s="6" t="s">
        <v>64</v>
      </c>
      <c r="G32" s="6" t="s">
        <v>63</v>
      </c>
      <c r="H32" s="6" t="s">
        <v>63</v>
      </c>
      <c r="I32" s="6" t="s">
        <v>192</v>
      </c>
      <c r="J32" s="6" t="s">
        <v>193</v>
      </c>
      <c r="K32" s="6" t="s">
        <v>105</v>
      </c>
      <c r="L32" s="6" t="s">
        <v>194</v>
      </c>
      <c r="M32" s="6" t="s">
        <v>107</v>
      </c>
    </row>
    <row r="33" spans="1:13" ht="27.75" x14ac:dyDescent="0.2">
      <c r="A33" s="5">
        <v>29</v>
      </c>
      <c r="B33" s="5" t="s">
        <v>59</v>
      </c>
      <c r="C33" s="5" t="s">
        <v>195</v>
      </c>
      <c r="D33" s="5" t="s">
        <v>195</v>
      </c>
      <c r="E33" s="5" t="s">
        <v>191</v>
      </c>
      <c r="F33" s="5" t="s">
        <v>64</v>
      </c>
      <c r="G33" s="5" t="s">
        <v>63</v>
      </c>
      <c r="H33" s="5" t="s">
        <v>63</v>
      </c>
      <c r="I33" s="5" t="s">
        <v>192</v>
      </c>
      <c r="J33" s="5" t="s">
        <v>196</v>
      </c>
      <c r="K33" s="5" t="s">
        <v>105</v>
      </c>
      <c r="L33" s="5" t="s">
        <v>197</v>
      </c>
      <c r="M33" s="5" t="s">
        <v>107</v>
      </c>
    </row>
    <row r="34" spans="1:13" ht="27.75" x14ac:dyDescent="0.2">
      <c r="A34" s="6">
        <v>30</v>
      </c>
      <c r="B34" s="6" t="s">
        <v>59</v>
      </c>
      <c r="C34" s="6" t="s">
        <v>198</v>
      </c>
      <c r="D34" s="6" t="s">
        <v>198</v>
      </c>
      <c r="E34" s="6" t="s">
        <v>191</v>
      </c>
      <c r="F34" s="6" t="s">
        <v>64</v>
      </c>
      <c r="G34" s="6" t="s">
        <v>63</v>
      </c>
      <c r="H34" s="6" t="s">
        <v>63</v>
      </c>
      <c r="I34" s="6" t="s">
        <v>192</v>
      </c>
      <c r="J34" s="6" t="s">
        <v>199</v>
      </c>
      <c r="K34" s="6" t="s">
        <v>105</v>
      </c>
      <c r="L34" s="6" t="s">
        <v>200</v>
      </c>
      <c r="M34" s="6" t="s">
        <v>107</v>
      </c>
    </row>
    <row r="35" spans="1:13" ht="27.75" x14ac:dyDescent="0.2">
      <c r="A35" s="5">
        <v>31</v>
      </c>
      <c r="B35" s="5" t="s">
        <v>59</v>
      </c>
      <c r="C35" s="5" t="s">
        <v>201</v>
      </c>
      <c r="D35" s="5" t="s">
        <v>201</v>
      </c>
      <c r="E35" s="5" t="s">
        <v>191</v>
      </c>
      <c r="F35" s="5" t="s">
        <v>64</v>
      </c>
      <c r="G35" s="5" t="s">
        <v>63</v>
      </c>
      <c r="H35" s="5" t="s">
        <v>63</v>
      </c>
      <c r="I35" s="5" t="s">
        <v>192</v>
      </c>
      <c r="J35" s="5" t="s">
        <v>202</v>
      </c>
      <c r="K35" s="5" t="s">
        <v>105</v>
      </c>
      <c r="L35" s="5" t="s">
        <v>203</v>
      </c>
      <c r="M35" s="5" t="s">
        <v>107</v>
      </c>
    </row>
    <row r="36" spans="1:13" ht="27.75" x14ac:dyDescent="0.2">
      <c r="A36" s="6">
        <v>32</v>
      </c>
      <c r="B36" s="6" t="s">
        <v>59</v>
      </c>
      <c r="C36" s="6" t="s">
        <v>204</v>
      </c>
      <c r="D36" s="6" t="s">
        <v>204</v>
      </c>
      <c r="E36" s="6" t="s">
        <v>191</v>
      </c>
      <c r="F36" s="6" t="s">
        <v>64</v>
      </c>
      <c r="G36" s="6" t="s">
        <v>63</v>
      </c>
      <c r="H36" s="6" t="s">
        <v>63</v>
      </c>
      <c r="I36" s="6" t="s">
        <v>192</v>
      </c>
      <c r="J36" s="6" t="s">
        <v>205</v>
      </c>
      <c r="K36" s="6" t="s">
        <v>105</v>
      </c>
      <c r="L36" s="6" t="s">
        <v>206</v>
      </c>
      <c r="M36" s="6" t="s">
        <v>107</v>
      </c>
    </row>
    <row r="37" spans="1:13" ht="27.75" x14ac:dyDescent="0.2">
      <c r="A37" s="5">
        <v>33</v>
      </c>
      <c r="B37" s="5" t="s">
        <v>59</v>
      </c>
      <c r="C37" s="5" t="s">
        <v>207</v>
      </c>
      <c r="D37" s="5" t="s">
        <v>207</v>
      </c>
      <c r="E37" s="5" t="s">
        <v>208</v>
      </c>
      <c r="F37" s="5" t="s">
        <v>64</v>
      </c>
      <c r="G37" s="5" t="s">
        <v>63</v>
      </c>
      <c r="H37" s="5" t="s">
        <v>63</v>
      </c>
      <c r="I37" s="5"/>
      <c r="J37" s="5" t="s">
        <v>209</v>
      </c>
      <c r="K37" s="5" t="s">
        <v>105</v>
      </c>
      <c r="L37" s="5" t="s">
        <v>210</v>
      </c>
      <c r="M37" s="5" t="s">
        <v>107</v>
      </c>
    </row>
    <row r="38" spans="1:13" ht="27.75" x14ac:dyDescent="0.2">
      <c r="A38" s="6">
        <v>34</v>
      </c>
      <c r="B38" s="6" t="s">
        <v>59</v>
      </c>
      <c r="C38" s="6" t="s">
        <v>211</v>
      </c>
      <c r="D38" s="6" t="s">
        <v>211</v>
      </c>
      <c r="E38" s="6" t="s">
        <v>124</v>
      </c>
      <c r="F38" s="6" t="s">
        <v>63</v>
      </c>
      <c r="G38" s="6" t="s">
        <v>63</v>
      </c>
      <c r="H38" s="6" t="s">
        <v>63</v>
      </c>
      <c r="I38" s="6" t="s">
        <v>125</v>
      </c>
      <c r="J38" s="6" t="s">
        <v>212</v>
      </c>
      <c r="K38" s="6" t="s">
        <v>105</v>
      </c>
      <c r="L38" s="6" t="s">
        <v>213</v>
      </c>
      <c r="M38" s="6" t="s">
        <v>107</v>
      </c>
    </row>
    <row r="39" spans="1:13" ht="27.75" x14ac:dyDescent="0.2">
      <c r="A39" s="5">
        <v>35</v>
      </c>
      <c r="B39" s="5" t="s">
        <v>59</v>
      </c>
      <c r="C39" s="5" t="s">
        <v>214</v>
      </c>
      <c r="D39" s="5" t="s">
        <v>214</v>
      </c>
      <c r="E39" s="5" t="s">
        <v>191</v>
      </c>
      <c r="F39" s="5" t="s">
        <v>64</v>
      </c>
      <c r="G39" s="5" t="s">
        <v>63</v>
      </c>
      <c r="H39" s="5" t="s">
        <v>63</v>
      </c>
      <c r="I39" s="5" t="s">
        <v>192</v>
      </c>
      <c r="J39" s="5" t="s">
        <v>215</v>
      </c>
      <c r="K39" s="5" t="s">
        <v>105</v>
      </c>
      <c r="L39" s="5" t="s">
        <v>216</v>
      </c>
      <c r="M39" s="5" t="s">
        <v>107</v>
      </c>
    </row>
    <row r="40" spans="1:13" ht="27.75" x14ac:dyDescent="0.2">
      <c r="A40" s="6">
        <v>36</v>
      </c>
      <c r="B40" s="6" t="s">
        <v>66</v>
      </c>
      <c r="C40" s="6" t="s">
        <v>68</v>
      </c>
      <c r="D40" s="6" t="s">
        <v>68</v>
      </c>
      <c r="E40" s="6" t="s">
        <v>102</v>
      </c>
      <c r="F40" s="6" t="s">
        <v>64</v>
      </c>
      <c r="G40" s="6" t="s">
        <v>64</v>
      </c>
      <c r="H40" s="6" t="s">
        <v>64</v>
      </c>
      <c r="I40" s="6" t="s">
        <v>103</v>
      </c>
      <c r="J40" s="6" t="s">
        <v>217</v>
      </c>
      <c r="K40" s="6" t="s">
        <v>105</v>
      </c>
      <c r="L40" s="6" t="s">
        <v>218</v>
      </c>
      <c r="M40" s="6" t="s">
        <v>107</v>
      </c>
    </row>
    <row r="41" spans="1:13" ht="27.75" x14ac:dyDescent="0.2">
      <c r="A41" s="5">
        <v>37</v>
      </c>
      <c r="B41" s="5" t="s">
        <v>66</v>
      </c>
      <c r="C41" s="5" t="s">
        <v>61</v>
      </c>
      <c r="D41" s="5" t="s">
        <v>61</v>
      </c>
      <c r="E41" s="5" t="s">
        <v>102</v>
      </c>
      <c r="F41" s="5" t="s">
        <v>64</v>
      </c>
      <c r="G41" s="5" t="s">
        <v>64</v>
      </c>
      <c r="H41" s="5" t="s">
        <v>63</v>
      </c>
      <c r="I41" s="5" t="s">
        <v>103</v>
      </c>
      <c r="J41" s="5" t="s">
        <v>219</v>
      </c>
      <c r="K41" s="5" t="s">
        <v>105</v>
      </c>
      <c r="L41" s="5" t="s">
        <v>220</v>
      </c>
      <c r="M41" s="5" t="s">
        <v>107</v>
      </c>
    </row>
    <row r="42" spans="1:13" ht="27.75" x14ac:dyDescent="0.2">
      <c r="A42" s="6">
        <v>38</v>
      </c>
      <c r="B42" s="6" t="s">
        <v>66</v>
      </c>
      <c r="C42" s="6" t="s">
        <v>108</v>
      </c>
      <c r="D42" s="6" t="s">
        <v>108</v>
      </c>
      <c r="E42" s="6" t="s">
        <v>102</v>
      </c>
      <c r="F42" s="6" t="s">
        <v>64</v>
      </c>
      <c r="G42" s="6" t="s">
        <v>64</v>
      </c>
      <c r="H42" s="6" t="s">
        <v>63</v>
      </c>
      <c r="I42" s="6" t="s">
        <v>103</v>
      </c>
      <c r="J42" s="6" t="s">
        <v>221</v>
      </c>
      <c r="K42" s="6" t="s">
        <v>105</v>
      </c>
      <c r="L42" s="6" t="s">
        <v>110</v>
      </c>
      <c r="M42" s="6" t="s">
        <v>107</v>
      </c>
    </row>
    <row r="43" spans="1:13" ht="27.75" x14ac:dyDescent="0.2">
      <c r="A43" s="5">
        <v>39</v>
      </c>
      <c r="B43" s="5" t="s">
        <v>66</v>
      </c>
      <c r="C43" s="5" t="s">
        <v>111</v>
      </c>
      <c r="D43" s="5" t="s">
        <v>111</v>
      </c>
      <c r="E43" s="5" t="s">
        <v>102</v>
      </c>
      <c r="F43" s="5" t="s">
        <v>64</v>
      </c>
      <c r="G43" s="5" t="s">
        <v>64</v>
      </c>
      <c r="H43" s="5" t="s">
        <v>63</v>
      </c>
      <c r="I43" s="5" t="s">
        <v>103</v>
      </c>
      <c r="J43" s="5" t="s">
        <v>112</v>
      </c>
      <c r="K43" s="5" t="s">
        <v>105</v>
      </c>
      <c r="L43" s="5" t="s">
        <v>113</v>
      </c>
      <c r="M43" s="5" t="s">
        <v>107</v>
      </c>
    </row>
    <row r="44" spans="1:13" ht="27.75" x14ac:dyDescent="0.2">
      <c r="A44" s="6">
        <v>40</v>
      </c>
      <c r="B44" s="6" t="s">
        <v>66</v>
      </c>
      <c r="C44" s="6" t="s">
        <v>161</v>
      </c>
      <c r="D44" s="6" t="s">
        <v>161</v>
      </c>
      <c r="E44" s="6" t="s">
        <v>102</v>
      </c>
      <c r="F44" s="6" t="s">
        <v>64</v>
      </c>
      <c r="G44" s="6" t="s">
        <v>63</v>
      </c>
      <c r="H44" s="6" t="s">
        <v>63</v>
      </c>
      <c r="I44" s="6" t="s">
        <v>103</v>
      </c>
      <c r="J44" s="6" t="s">
        <v>222</v>
      </c>
      <c r="K44" s="6" t="s">
        <v>105</v>
      </c>
      <c r="L44" s="6" t="s">
        <v>163</v>
      </c>
      <c r="M44" s="6" t="s">
        <v>107</v>
      </c>
    </row>
    <row r="45" spans="1:13" ht="41.25" x14ac:dyDescent="0.2">
      <c r="A45" s="5">
        <v>41</v>
      </c>
      <c r="B45" s="5" t="s">
        <v>66</v>
      </c>
      <c r="C45" s="5" t="s">
        <v>164</v>
      </c>
      <c r="D45" s="5" t="s">
        <v>164</v>
      </c>
      <c r="E45" s="5" t="s">
        <v>102</v>
      </c>
      <c r="F45" s="5" t="s">
        <v>64</v>
      </c>
      <c r="G45" s="5" t="s">
        <v>64</v>
      </c>
      <c r="H45" s="5" t="s">
        <v>63</v>
      </c>
      <c r="I45" s="5" t="s">
        <v>103</v>
      </c>
      <c r="J45" s="5" t="s">
        <v>165</v>
      </c>
      <c r="K45" s="5" t="s">
        <v>105</v>
      </c>
      <c r="L45" s="5" t="s">
        <v>223</v>
      </c>
      <c r="M45" s="5" t="s">
        <v>107</v>
      </c>
    </row>
    <row r="46" spans="1:13" ht="41.25" x14ac:dyDescent="0.2">
      <c r="A46" s="6">
        <v>42</v>
      </c>
      <c r="B46" s="6" t="s">
        <v>66</v>
      </c>
      <c r="C46" s="6" t="s">
        <v>167</v>
      </c>
      <c r="D46" s="6" t="s">
        <v>167</v>
      </c>
      <c r="E46" s="6" t="s">
        <v>124</v>
      </c>
      <c r="F46" s="6" t="s">
        <v>63</v>
      </c>
      <c r="G46" s="6" t="s">
        <v>63</v>
      </c>
      <c r="H46" s="6" t="s">
        <v>63</v>
      </c>
      <c r="I46" s="6" t="s">
        <v>125</v>
      </c>
      <c r="J46" s="6" t="s">
        <v>224</v>
      </c>
      <c r="K46" s="6" t="s">
        <v>105</v>
      </c>
      <c r="L46" s="6" t="s">
        <v>169</v>
      </c>
      <c r="M46" s="6" t="s">
        <v>107</v>
      </c>
    </row>
    <row r="47" spans="1:13" ht="41.25" x14ac:dyDescent="0.2">
      <c r="A47" s="5">
        <v>43</v>
      </c>
      <c r="B47" s="5" t="s">
        <v>66</v>
      </c>
      <c r="C47" s="5" t="s">
        <v>170</v>
      </c>
      <c r="D47" s="5" t="s">
        <v>170</v>
      </c>
      <c r="E47" s="5" t="s">
        <v>124</v>
      </c>
      <c r="F47" s="5" t="s">
        <v>63</v>
      </c>
      <c r="G47" s="5" t="s">
        <v>63</v>
      </c>
      <c r="H47" s="5" t="s">
        <v>63</v>
      </c>
      <c r="I47" s="5" t="s">
        <v>125</v>
      </c>
      <c r="J47" s="5" t="s">
        <v>225</v>
      </c>
      <c r="K47" s="5" t="s">
        <v>105</v>
      </c>
      <c r="L47" s="5" t="s">
        <v>172</v>
      </c>
      <c r="M47" s="5" t="s">
        <v>107</v>
      </c>
    </row>
    <row r="48" spans="1:13" ht="27.75" x14ac:dyDescent="0.2">
      <c r="A48" s="6">
        <v>44</v>
      </c>
      <c r="B48" s="6" t="s">
        <v>66</v>
      </c>
      <c r="C48" s="6" t="s">
        <v>226</v>
      </c>
      <c r="D48" s="6" t="s">
        <v>226</v>
      </c>
      <c r="E48" s="6" t="s">
        <v>124</v>
      </c>
      <c r="F48" s="6" t="s">
        <v>63</v>
      </c>
      <c r="G48" s="6" t="s">
        <v>63</v>
      </c>
      <c r="H48" s="6" t="s">
        <v>63</v>
      </c>
      <c r="I48" s="6" t="s">
        <v>125</v>
      </c>
      <c r="J48" s="6" t="s">
        <v>227</v>
      </c>
      <c r="K48" s="6" t="s">
        <v>105</v>
      </c>
      <c r="L48" s="6" t="s">
        <v>228</v>
      </c>
      <c r="M48" s="6" t="s">
        <v>107</v>
      </c>
    </row>
    <row r="49" spans="1:13" ht="27.75" x14ac:dyDescent="0.2">
      <c r="A49" s="5">
        <v>45</v>
      </c>
      <c r="B49" s="5" t="s">
        <v>66</v>
      </c>
      <c r="C49" s="5" t="s">
        <v>229</v>
      </c>
      <c r="D49" s="5" t="s">
        <v>229</v>
      </c>
      <c r="E49" s="5" t="s">
        <v>124</v>
      </c>
      <c r="F49" s="5" t="s">
        <v>64</v>
      </c>
      <c r="G49" s="5" t="s">
        <v>63</v>
      </c>
      <c r="H49" s="5" t="s">
        <v>63</v>
      </c>
      <c r="I49" s="5" t="s">
        <v>125</v>
      </c>
      <c r="J49" s="5" t="s">
        <v>230</v>
      </c>
      <c r="K49" s="5" t="s">
        <v>105</v>
      </c>
      <c r="L49" s="5" t="s">
        <v>231</v>
      </c>
      <c r="M49" s="5" t="s">
        <v>107</v>
      </c>
    </row>
    <row r="50" spans="1:13" ht="41.25" x14ac:dyDescent="0.2">
      <c r="A50" s="6">
        <v>46</v>
      </c>
      <c r="B50" s="6" t="s">
        <v>66</v>
      </c>
      <c r="C50" s="6" t="s">
        <v>232</v>
      </c>
      <c r="D50" s="6" t="s">
        <v>232</v>
      </c>
      <c r="E50" s="6" t="s">
        <v>174</v>
      </c>
      <c r="F50" s="6" t="s">
        <v>64</v>
      </c>
      <c r="G50" s="6" t="s">
        <v>64</v>
      </c>
      <c r="H50" s="6" t="s">
        <v>63</v>
      </c>
      <c r="I50" s="6" t="s">
        <v>175</v>
      </c>
      <c r="J50" s="6" t="s">
        <v>233</v>
      </c>
      <c r="K50" s="6" t="s">
        <v>105</v>
      </c>
      <c r="L50" s="6" t="s">
        <v>234</v>
      </c>
      <c r="M50" s="6" t="s">
        <v>107</v>
      </c>
    </row>
    <row r="51" spans="1:13" ht="27.75" x14ac:dyDescent="0.2">
      <c r="A51" s="5">
        <v>47</v>
      </c>
      <c r="B51" s="5" t="s">
        <v>66</v>
      </c>
      <c r="C51" s="5" t="s">
        <v>235</v>
      </c>
      <c r="D51" s="5" t="s">
        <v>235</v>
      </c>
      <c r="E51" s="5" t="s">
        <v>174</v>
      </c>
      <c r="F51" s="5" t="s">
        <v>63</v>
      </c>
      <c r="G51" s="5" t="s">
        <v>63</v>
      </c>
      <c r="H51" s="5" t="s">
        <v>63</v>
      </c>
      <c r="I51" s="5" t="s">
        <v>175</v>
      </c>
      <c r="J51" s="5" t="s">
        <v>236</v>
      </c>
      <c r="K51" s="5" t="s">
        <v>105</v>
      </c>
      <c r="L51" s="5" t="s">
        <v>237</v>
      </c>
      <c r="M51" s="5" t="s">
        <v>107</v>
      </c>
    </row>
    <row r="52" spans="1:13" ht="27.75" x14ac:dyDescent="0.2">
      <c r="A52" s="6">
        <v>48</v>
      </c>
      <c r="B52" s="6" t="s">
        <v>66</v>
      </c>
      <c r="C52" s="6" t="s">
        <v>238</v>
      </c>
      <c r="D52" s="6" t="s">
        <v>238</v>
      </c>
      <c r="E52" s="6" t="s">
        <v>208</v>
      </c>
      <c r="F52" s="6" t="s">
        <v>64</v>
      </c>
      <c r="G52" s="6" t="s">
        <v>63</v>
      </c>
      <c r="H52" s="6" t="s">
        <v>63</v>
      </c>
      <c r="I52" s="6"/>
      <c r="J52" s="6" t="s">
        <v>239</v>
      </c>
      <c r="K52" s="6" t="s">
        <v>105</v>
      </c>
      <c r="L52" s="6" t="s">
        <v>240</v>
      </c>
      <c r="M52" s="6" t="s">
        <v>107</v>
      </c>
    </row>
    <row r="53" spans="1:13" ht="27.75" x14ac:dyDescent="0.2">
      <c r="A53" s="5">
        <v>49</v>
      </c>
      <c r="B53" s="5" t="s">
        <v>70</v>
      </c>
      <c r="C53" s="5" t="s">
        <v>72</v>
      </c>
      <c r="D53" s="5" t="s">
        <v>72</v>
      </c>
      <c r="E53" s="5" t="s">
        <v>102</v>
      </c>
      <c r="F53" s="5" t="s">
        <v>64</v>
      </c>
      <c r="G53" s="5" t="s">
        <v>64</v>
      </c>
      <c r="H53" s="5" t="s">
        <v>64</v>
      </c>
      <c r="I53" s="5" t="s">
        <v>103</v>
      </c>
      <c r="J53" s="5" t="s">
        <v>241</v>
      </c>
      <c r="K53" s="5" t="s">
        <v>105</v>
      </c>
      <c r="L53" s="5" t="s">
        <v>242</v>
      </c>
      <c r="M53" s="5" t="s">
        <v>107</v>
      </c>
    </row>
    <row r="54" spans="1:13" ht="27.75" x14ac:dyDescent="0.2">
      <c r="A54" s="6">
        <v>50</v>
      </c>
      <c r="B54" s="6" t="s">
        <v>70</v>
      </c>
      <c r="C54" s="6" t="s">
        <v>61</v>
      </c>
      <c r="D54" s="6" t="s">
        <v>61</v>
      </c>
      <c r="E54" s="6" t="s">
        <v>102</v>
      </c>
      <c r="F54" s="6" t="s">
        <v>64</v>
      </c>
      <c r="G54" s="6" t="s">
        <v>64</v>
      </c>
      <c r="H54" s="6" t="s">
        <v>63</v>
      </c>
      <c r="I54" s="6" t="s">
        <v>103</v>
      </c>
      <c r="J54" s="6" t="s">
        <v>219</v>
      </c>
      <c r="K54" s="6" t="s">
        <v>105</v>
      </c>
      <c r="L54" s="6" t="s">
        <v>220</v>
      </c>
      <c r="M54" s="6" t="s">
        <v>107</v>
      </c>
    </row>
    <row r="55" spans="1:13" ht="27.75" x14ac:dyDescent="0.2">
      <c r="A55" s="5">
        <v>51</v>
      </c>
      <c r="B55" s="5" t="s">
        <v>70</v>
      </c>
      <c r="C55" s="5" t="s">
        <v>108</v>
      </c>
      <c r="D55" s="5" t="s">
        <v>108</v>
      </c>
      <c r="E55" s="5" t="s">
        <v>102</v>
      </c>
      <c r="F55" s="5" t="s">
        <v>64</v>
      </c>
      <c r="G55" s="5" t="s">
        <v>64</v>
      </c>
      <c r="H55" s="5" t="s">
        <v>63</v>
      </c>
      <c r="I55" s="5" t="s">
        <v>103</v>
      </c>
      <c r="J55" s="5" t="s">
        <v>221</v>
      </c>
      <c r="K55" s="5" t="s">
        <v>105</v>
      </c>
      <c r="L55" s="5" t="s">
        <v>110</v>
      </c>
      <c r="M55" s="5" t="s">
        <v>107</v>
      </c>
    </row>
    <row r="56" spans="1:13" ht="27.75" x14ac:dyDescent="0.2">
      <c r="A56" s="6">
        <v>52</v>
      </c>
      <c r="B56" s="6" t="s">
        <v>70</v>
      </c>
      <c r="C56" s="6" t="s">
        <v>111</v>
      </c>
      <c r="D56" s="6" t="s">
        <v>111</v>
      </c>
      <c r="E56" s="6" t="s">
        <v>102</v>
      </c>
      <c r="F56" s="6" t="s">
        <v>64</v>
      </c>
      <c r="G56" s="6" t="s">
        <v>64</v>
      </c>
      <c r="H56" s="6" t="s">
        <v>63</v>
      </c>
      <c r="I56" s="6" t="s">
        <v>103</v>
      </c>
      <c r="J56" s="6" t="s">
        <v>112</v>
      </c>
      <c r="K56" s="6" t="s">
        <v>105</v>
      </c>
      <c r="L56" s="6" t="s">
        <v>113</v>
      </c>
      <c r="M56" s="6" t="s">
        <v>107</v>
      </c>
    </row>
    <row r="57" spans="1:13" ht="27.75" x14ac:dyDescent="0.2">
      <c r="A57" s="5">
        <v>53</v>
      </c>
      <c r="B57" s="5" t="s">
        <v>70</v>
      </c>
      <c r="C57" s="5" t="s">
        <v>243</v>
      </c>
      <c r="D57" s="5" t="s">
        <v>243</v>
      </c>
      <c r="E57" s="5" t="s">
        <v>102</v>
      </c>
      <c r="F57" s="5" t="s">
        <v>64</v>
      </c>
      <c r="G57" s="5" t="s">
        <v>64</v>
      </c>
      <c r="H57" s="5" t="s">
        <v>63</v>
      </c>
      <c r="I57" s="5" t="s">
        <v>103</v>
      </c>
      <c r="J57" s="5" t="s">
        <v>244</v>
      </c>
      <c r="K57" s="5" t="s">
        <v>105</v>
      </c>
      <c r="L57" s="5" t="s">
        <v>245</v>
      </c>
      <c r="M57" s="5" t="s">
        <v>107</v>
      </c>
    </row>
    <row r="58" spans="1:13" ht="27.75" x14ac:dyDescent="0.2">
      <c r="A58" s="6">
        <v>54</v>
      </c>
      <c r="B58" s="6" t="s">
        <v>70</v>
      </c>
      <c r="C58" s="6" t="s">
        <v>246</v>
      </c>
      <c r="D58" s="6" t="s">
        <v>246</v>
      </c>
      <c r="E58" s="6" t="s">
        <v>102</v>
      </c>
      <c r="F58" s="6" t="s">
        <v>63</v>
      </c>
      <c r="G58" s="6" t="s">
        <v>64</v>
      </c>
      <c r="H58" s="6" t="s">
        <v>63</v>
      </c>
      <c r="I58" s="6" t="s">
        <v>103</v>
      </c>
      <c r="J58" s="6" t="s">
        <v>247</v>
      </c>
      <c r="K58" s="6" t="s">
        <v>105</v>
      </c>
      <c r="L58" s="6" t="s">
        <v>248</v>
      </c>
      <c r="M58" s="6" t="s">
        <v>107</v>
      </c>
    </row>
    <row r="59" spans="1:13" ht="27.75" x14ac:dyDescent="0.2">
      <c r="A59" s="5">
        <v>55</v>
      </c>
      <c r="B59" s="5" t="s">
        <v>70</v>
      </c>
      <c r="C59" s="5" t="s">
        <v>249</v>
      </c>
      <c r="D59" s="5" t="s">
        <v>249</v>
      </c>
      <c r="E59" s="5" t="s">
        <v>174</v>
      </c>
      <c r="F59" s="5" t="s">
        <v>64</v>
      </c>
      <c r="G59" s="5" t="s">
        <v>64</v>
      </c>
      <c r="H59" s="5" t="s">
        <v>63</v>
      </c>
      <c r="I59" s="5" t="s">
        <v>175</v>
      </c>
      <c r="J59" s="5" t="s">
        <v>250</v>
      </c>
      <c r="K59" s="5" t="s">
        <v>105</v>
      </c>
      <c r="L59" s="5" t="s">
        <v>251</v>
      </c>
      <c r="M59" s="5" t="s">
        <v>107</v>
      </c>
    </row>
    <row r="60" spans="1:13" ht="27.75" x14ac:dyDescent="0.2">
      <c r="A60" s="6">
        <v>56</v>
      </c>
      <c r="B60" s="6" t="s">
        <v>70</v>
      </c>
      <c r="C60" s="6" t="s">
        <v>252</v>
      </c>
      <c r="D60" s="6" t="s">
        <v>252</v>
      </c>
      <c r="E60" s="6" t="s">
        <v>174</v>
      </c>
      <c r="F60" s="6" t="s">
        <v>64</v>
      </c>
      <c r="G60" s="6" t="s">
        <v>63</v>
      </c>
      <c r="H60" s="6" t="s">
        <v>63</v>
      </c>
      <c r="I60" s="6" t="s">
        <v>175</v>
      </c>
      <c r="J60" s="6" t="s">
        <v>253</v>
      </c>
      <c r="K60" s="6" t="s">
        <v>105</v>
      </c>
      <c r="L60" s="6" t="s">
        <v>254</v>
      </c>
      <c r="M60" s="6" t="s">
        <v>107</v>
      </c>
    </row>
    <row r="61" spans="1:13" ht="27.75" x14ac:dyDescent="0.2">
      <c r="A61" s="5">
        <v>57</v>
      </c>
      <c r="B61" s="5" t="s">
        <v>70</v>
      </c>
      <c r="C61" s="5" t="s">
        <v>255</v>
      </c>
      <c r="D61" s="5" t="s">
        <v>255</v>
      </c>
      <c r="E61" s="5" t="s">
        <v>191</v>
      </c>
      <c r="F61" s="5" t="s">
        <v>64</v>
      </c>
      <c r="G61" s="5" t="s">
        <v>63</v>
      </c>
      <c r="H61" s="5" t="s">
        <v>63</v>
      </c>
      <c r="I61" s="5" t="s">
        <v>192</v>
      </c>
      <c r="J61" s="5" t="s">
        <v>256</v>
      </c>
      <c r="K61" s="5" t="s">
        <v>105</v>
      </c>
      <c r="L61" s="5" t="s">
        <v>257</v>
      </c>
      <c r="M61" s="5" t="s">
        <v>107</v>
      </c>
    </row>
    <row r="62" spans="1:13" ht="27.75" x14ac:dyDescent="0.2">
      <c r="A62" s="6">
        <v>58</v>
      </c>
      <c r="B62" s="6" t="s">
        <v>70</v>
      </c>
      <c r="C62" s="6" t="s">
        <v>258</v>
      </c>
      <c r="D62" s="6" t="s">
        <v>258</v>
      </c>
      <c r="E62" s="6" t="s">
        <v>102</v>
      </c>
      <c r="F62" s="6" t="s">
        <v>64</v>
      </c>
      <c r="G62" s="6" t="s">
        <v>64</v>
      </c>
      <c r="H62" s="6" t="s">
        <v>63</v>
      </c>
      <c r="I62" s="6" t="s">
        <v>103</v>
      </c>
      <c r="J62" s="6" t="s">
        <v>259</v>
      </c>
      <c r="K62" s="6" t="s">
        <v>105</v>
      </c>
      <c r="L62" s="6" t="s">
        <v>260</v>
      </c>
      <c r="M62" s="6" t="s">
        <v>107</v>
      </c>
    </row>
    <row r="63" spans="1:13" ht="27.75" x14ac:dyDescent="0.2">
      <c r="A63" s="5">
        <v>59</v>
      </c>
      <c r="B63" s="5" t="s">
        <v>70</v>
      </c>
      <c r="C63" s="5" t="s">
        <v>261</v>
      </c>
      <c r="D63" s="5" t="s">
        <v>261</v>
      </c>
      <c r="E63" s="5" t="s">
        <v>191</v>
      </c>
      <c r="F63" s="5" t="s">
        <v>63</v>
      </c>
      <c r="G63" s="5" t="s">
        <v>63</v>
      </c>
      <c r="H63" s="5" t="s">
        <v>63</v>
      </c>
      <c r="I63" s="5" t="s">
        <v>192</v>
      </c>
      <c r="J63" s="5" t="s">
        <v>262</v>
      </c>
      <c r="K63" s="5" t="s">
        <v>105</v>
      </c>
      <c r="L63" s="5" t="s">
        <v>263</v>
      </c>
      <c r="M63" s="5" t="s">
        <v>107</v>
      </c>
    </row>
    <row r="64" spans="1:13" ht="27.75" x14ac:dyDescent="0.2">
      <c r="A64" s="6">
        <v>60</v>
      </c>
      <c r="B64" s="6" t="s">
        <v>70</v>
      </c>
      <c r="C64" s="6" t="s">
        <v>264</v>
      </c>
      <c r="D64" s="6" t="s">
        <v>264</v>
      </c>
      <c r="E64" s="6" t="s">
        <v>102</v>
      </c>
      <c r="F64" s="6" t="s">
        <v>63</v>
      </c>
      <c r="G64" s="6" t="s">
        <v>64</v>
      </c>
      <c r="H64" s="6" t="s">
        <v>63</v>
      </c>
      <c r="I64" s="6" t="s">
        <v>103</v>
      </c>
      <c r="J64" s="6" t="s">
        <v>265</v>
      </c>
      <c r="K64" s="6" t="s">
        <v>105</v>
      </c>
      <c r="L64" s="6" t="s">
        <v>266</v>
      </c>
      <c r="M64" s="6" t="s">
        <v>107</v>
      </c>
    </row>
    <row r="65" spans="1:13" ht="27.75" x14ac:dyDescent="0.2">
      <c r="A65" s="5">
        <v>61</v>
      </c>
      <c r="B65" s="5" t="s">
        <v>70</v>
      </c>
      <c r="C65" s="5" t="s">
        <v>267</v>
      </c>
      <c r="D65" s="5" t="s">
        <v>267</v>
      </c>
      <c r="E65" s="5" t="s">
        <v>102</v>
      </c>
      <c r="F65" s="5" t="s">
        <v>63</v>
      </c>
      <c r="G65" s="5" t="s">
        <v>63</v>
      </c>
      <c r="H65" s="5" t="s">
        <v>63</v>
      </c>
      <c r="I65" s="5" t="s">
        <v>103</v>
      </c>
      <c r="J65" s="5" t="s">
        <v>268</v>
      </c>
      <c r="K65" s="5" t="s">
        <v>105</v>
      </c>
      <c r="L65" s="5" t="s">
        <v>269</v>
      </c>
      <c r="M65" s="5" t="s">
        <v>107</v>
      </c>
    </row>
    <row r="66" spans="1:13" ht="27.75" x14ac:dyDescent="0.2">
      <c r="A66" s="6">
        <v>62</v>
      </c>
      <c r="B66" s="6" t="s">
        <v>70</v>
      </c>
      <c r="C66" s="6" t="s">
        <v>270</v>
      </c>
      <c r="D66" s="6" t="s">
        <v>270</v>
      </c>
      <c r="E66" s="6" t="s">
        <v>124</v>
      </c>
      <c r="F66" s="6" t="s">
        <v>63</v>
      </c>
      <c r="G66" s="6" t="s">
        <v>63</v>
      </c>
      <c r="H66" s="6" t="s">
        <v>63</v>
      </c>
      <c r="I66" s="6" t="s">
        <v>125</v>
      </c>
      <c r="J66" s="6" t="s">
        <v>271</v>
      </c>
      <c r="K66" s="6" t="s">
        <v>105</v>
      </c>
      <c r="L66" s="6" t="s">
        <v>272</v>
      </c>
      <c r="M66" s="6" t="s">
        <v>107</v>
      </c>
    </row>
    <row r="67" spans="1:13" ht="41.25" x14ac:dyDescent="0.2">
      <c r="A67" s="5">
        <v>63</v>
      </c>
      <c r="B67" s="5" t="s">
        <v>70</v>
      </c>
      <c r="C67" s="5" t="s">
        <v>273</v>
      </c>
      <c r="D67" s="5" t="s">
        <v>273</v>
      </c>
      <c r="E67" s="5" t="s">
        <v>124</v>
      </c>
      <c r="F67" s="5" t="s">
        <v>63</v>
      </c>
      <c r="G67" s="5" t="s">
        <v>63</v>
      </c>
      <c r="H67" s="5" t="s">
        <v>63</v>
      </c>
      <c r="I67" s="5" t="s">
        <v>125</v>
      </c>
      <c r="J67" s="5" t="s">
        <v>274</v>
      </c>
      <c r="K67" s="5" t="s">
        <v>105</v>
      </c>
      <c r="L67" s="5" t="s">
        <v>275</v>
      </c>
      <c r="M67" s="5" t="s">
        <v>107</v>
      </c>
    </row>
    <row r="68" spans="1:13" ht="41.25" x14ac:dyDescent="0.2">
      <c r="A68" s="6">
        <v>64</v>
      </c>
      <c r="B68" s="6" t="s">
        <v>74</v>
      </c>
      <c r="C68" s="6" t="s">
        <v>76</v>
      </c>
      <c r="D68" s="6" t="s">
        <v>76</v>
      </c>
      <c r="E68" s="6" t="s">
        <v>102</v>
      </c>
      <c r="F68" s="6" t="s">
        <v>64</v>
      </c>
      <c r="G68" s="6" t="s">
        <v>64</v>
      </c>
      <c r="H68" s="6" t="s">
        <v>64</v>
      </c>
      <c r="I68" s="6" t="s">
        <v>103</v>
      </c>
      <c r="J68" s="6" t="s">
        <v>276</v>
      </c>
      <c r="K68" s="6" t="s">
        <v>105</v>
      </c>
      <c r="L68" s="6" t="s">
        <v>277</v>
      </c>
      <c r="M68" s="6" t="s">
        <v>107</v>
      </c>
    </row>
    <row r="69" spans="1:13" ht="27.75" x14ac:dyDescent="0.2">
      <c r="A69" s="5">
        <v>65</v>
      </c>
      <c r="B69" s="5" t="s">
        <v>74</v>
      </c>
      <c r="C69" s="5" t="s">
        <v>61</v>
      </c>
      <c r="D69" s="5" t="s">
        <v>61</v>
      </c>
      <c r="E69" s="5" t="s">
        <v>102</v>
      </c>
      <c r="F69" s="5" t="s">
        <v>64</v>
      </c>
      <c r="G69" s="5" t="s">
        <v>64</v>
      </c>
      <c r="H69" s="5" t="s">
        <v>63</v>
      </c>
      <c r="I69" s="5" t="s">
        <v>103</v>
      </c>
      <c r="J69" s="5" t="s">
        <v>219</v>
      </c>
      <c r="K69" s="5" t="s">
        <v>105</v>
      </c>
      <c r="L69" s="5" t="s">
        <v>220</v>
      </c>
      <c r="M69" s="5" t="s">
        <v>107</v>
      </c>
    </row>
    <row r="70" spans="1:13" ht="27.75" x14ac:dyDescent="0.2">
      <c r="A70" s="6">
        <v>66</v>
      </c>
      <c r="B70" s="6" t="s">
        <v>74</v>
      </c>
      <c r="C70" s="6" t="s">
        <v>278</v>
      </c>
      <c r="D70" s="6" t="s">
        <v>278</v>
      </c>
      <c r="E70" s="6" t="s">
        <v>102</v>
      </c>
      <c r="F70" s="6" t="s">
        <v>64</v>
      </c>
      <c r="G70" s="6" t="s">
        <v>63</v>
      </c>
      <c r="H70" s="6" t="s">
        <v>63</v>
      </c>
      <c r="I70" s="6" t="s">
        <v>103</v>
      </c>
      <c r="J70" s="6" t="s">
        <v>279</v>
      </c>
      <c r="K70" s="6" t="s">
        <v>105</v>
      </c>
      <c r="L70" s="6" t="s">
        <v>280</v>
      </c>
      <c r="M70" s="6" t="s">
        <v>107</v>
      </c>
    </row>
    <row r="71" spans="1:13" ht="27.75" x14ac:dyDescent="0.2">
      <c r="A71" s="5">
        <v>67</v>
      </c>
      <c r="B71" s="5" t="s">
        <v>74</v>
      </c>
      <c r="C71" s="5" t="s">
        <v>281</v>
      </c>
      <c r="D71" s="5" t="s">
        <v>281</v>
      </c>
      <c r="E71" s="5" t="s">
        <v>102</v>
      </c>
      <c r="F71" s="5" t="s">
        <v>64</v>
      </c>
      <c r="G71" s="5" t="s">
        <v>63</v>
      </c>
      <c r="H71" s="5" t="s">
        <v>63</v>
      </c>
      <c r="I71" s="5" t="s">
        <v>103</v>
      </c>
      <c r="J71" s="5" t="s">
        <v>282</v>
      </c>
      <c r="K71" s="5" t="s">
        <v>105</v>
      </c>
      <c r="L71" s="5" t="s">
        <v>283</v>
      </c>
      <c r="M71" s="5" t="s">
        <v>107</v>
      </c>
    </row>
    <row r="72" spans="1:13" ht="41.25" x14ac:dyDescent="0.2">
      <c r="A72" s="6">
        <v>68</v>
      </c>
      <c r="B72" s="6" t="s">
        <v>74</v>
      </c>
      <c r="C72" s="6" t="s">
        <v>284</v>
      </c>
      <c r="D72" s="6" t="s">
        <v>284</v>
      </c>
      <c r="E72" s="6" t="s">
        <v>102</v>
      </c>
      <c r="F72" s="6" t="s">
        <v>63</v>
      </c>
      <c r="G72" s="6" t="s">
        <v>64</v>
      </c>
      <c r="H72" s="6" t="s">
        <v>63</v>
      </c>
      <c r="I72" s="6" t="s">
        <v>103</v>
      </c>
      <c r="J72" s="6" t="s">
        <v>285</v>
      </c>
      <c r="K72" s="6" t="s">
        <v>105</v>
      </c>
      <c r="L72" s="6" t="s">
        <v>286</v>
      </c>
      <c r="M72" s="6" t="s">
        <v>107</v>
      </c>
    </row>
    <row r="73" spans="1:13" ht="41.25" x14ac:dyDescent="0.2">
      <c r="A73" s="5">
        <v>69</v>
      </c>
      <c r="B73" s="5" t="s">
        <v>74</v>
      </c>
      <c r="C73" s="5" t="s">
        <v>287</v>
      </c>
      <c r="D73" s="5" t="s">
        <v>287</v>
      </c>
      <c r="E73" s="5" t="s">
        <v>124</v>
      </c>
      <c r="F73" s="5" t="s">
        <v>63</v>
      </c>
      <c r="G73" s="5" t="s">
        <v>63</v>
      </c>
      <c r="H73" s="5" t="s">
        <v>63</v>
      </c>
      <c r="I73" s="5" t="s">
        <v>125</v>
      </c>
      <c r="J73" s="5" t="s">
        <v>288</v>
      </c>
      <c r="K73" s="5" t="s">
        <v>105</v>
      </c>
      <c r="L73" s="5" t="s">
        <v>289</v>
      </c>
      <c r="M73" s="5" t="s">
        <v>107</v>
      </c>
    </row>
    <row r="74" spans="1:13" ht="27.75" x14ac:dyDescent="0.2">
      <c r="A74" s="6">
        <v>70</v>
      </c>
      <c r="B74" s="6" t="s">
        <v>74</v>
      </c>
      <c r="C74" s="6" t="s">
        <v>290</v>
      </c>
      <c r="D74" s="6" t="s">
        <v>290</v>
      </c>
      <c r="E74" s="6" t="s">
        <v>208</v>
      </c>
      <c r="F74" s="6" t="s">
        <v>64</v>
      </c>
      <c r="G74" s="6" t="s">
        <v>63</v>
      </c>
      <c r="H74" s="6" t="s">
        <v>63</v>
      </c>
      <c r="I74" s="6"/>
      <c r="J74" s="6" t="s">
        <v>291</v>
      </c>
      <c r="K74" s="6" t="s">
        <v>105</v>
      </c>
      <c r="L74" s="6" t="s">
        <v>292</v>
      </c>
      <c r="M74" s="6" t="s">
        <v>107</v>
      </c>
    </row>
    <row r="75" spans="1:13" ht="27.75" x14ac:dyDescent="0.2">
      <c r="A75" s="5">
        <v>71</v>
      </c>
      <c r="B75" s="5" t="s">
        <v>74</v>
      </c>
      <c r="C75" s="5" t="s">
        <v>158</v>
      </c>
      <c r="D75" s="5" t="s">
        <v>158</v>
      </c>
      <c r="E75" s="5" t="s">
        <v>102</v>
      </c>
      <c r="F75" s="5" t="s">
        <v>64</v>
      </c>
      <c r="G75" s="5" t="s">
        <v>63</v>
      </c>
      <c r="H75" s="5" t="s">
        <v>63</v>
      </c>
      <c r="I75" s="5" t="s">
        <v>103</v>
      </c>
      <c r="J75" s="5" t="s">
        <v>293</v>
      </c>
      <c r="K75" s="5" t="s">
        <v>105</v>
      </c>
      <c r="L75" s="5" t="s">
        <v>294</v>
      </c>
      <c r="M75" s="5" t="s">
        <v>107</v>
      </c>
    </row>
    <row r="76" spans="1:13" ht="27.75" x14ac:dyDescent="0.2">
      <c r="A76" s="6">
        <v>72</v>
      </c>
      <c r="B76" s="6" t="s">
        <v>74</v>
      </c>
      <c r="C76" s="6" t="s">
        <v>295</v>
      </c>
      <c r="D76" s="6" t="s">
        <v>295</v>
      </c>
      <c r="E76" s="6" t="s">
        <v>174</v>
      </c>
      <c r="F76" s="6" t="s">
        <v>64</v>
      </c>
      <c r="G76" s="6" t="s">
        <v>63</v>
      </c>
      <c r="H76" s="6" t="s">
        <v>63</v>
      </c>
      <c r="I76" s="6" t="s">
        <v>175</v>
      </c>
      <c r="J76" s="6" t="s">
        <v>296</v>
      </c>
      <c r="K76" s="6" t="s">
        <v>105</v>
      </c>
      <c r="L76" s="6" t="s">
        <v>297</v>
      </c>
      <c r="M76" s="6" t="s">
        <v>107</v>
      </c>
    </row>
    <row r="77" spans="1:13" ht="27.75" x14ac:dyDescent="0.2">
      <c r="A77" s="5">
        <v>73</v>
      </c>
      <c r="B77" s="5" t="s">
        <v>77</v>
      </c>
      <c r="C77" s="5" t="s">
        <v>79</v>
      </c>
      <c r="D77" s="5" t="s">
        <v>79</v>
      </c>
      <c r="E77" s="5" t="s">
        <v>102</v>
      </c>
      <c r="F77" s="5" t="s">
        <v>64</v>
      </c>
      <c r="G77" s="5" t="s">
        <v>64</v>
      </c>
      <c r="H77" s="5" t="s">
        <v>64</v>
      </c>
      <c r="I77" s="5" t="s">
        <v>103</v>
      </c>
      <c r="J77" s="5" t="s">
        <v>298</v>
      </c>
      <c r="K77" s="5" t="s">
        <v>105</v>
      </c>
      <c r="L77" s="5" t="s">
        <v>299</v>
      </c>
      <c r="M77" s="5" t="s">
        <v>107</v>
      </c>
    </row>
    <row r="78" spans="1:13" ht="27.75" x14ac:dyDescent="0.2">
      <c r="A78" s="6">
        <v>74</v>
      </c>
      <c r="B78" s="6" t="s">
        <v>77</v>
      </c>
      <c r="C78" s="6" t="s">
        <v>61</v>
      </c>
      <c r="D78" s="6" t="s">
        <v>61</v>
      </c>
      <c r="E78" s="6" t="s">
        <v>102</v>
      </c>
      <c r="F78" s="6" t="s">
        <v>63</v>
      </c>
      <c r="G78" s="6" t="s">
        <v>64</v>
      </c>
      <c r="H78" s="6" t="s">
        <v>63</v>
      </c>
      <c r="I78" s="6" t="s">
        <v>103</v>
      </c>
      <c r="J78" s="6" t="s">
        <v>300</v>
      </c>
      <c r="K78" s="6" t="s">
        <v>105</v>
      </c>
      <c r="L78" s="6" t="s">
        <v>301</v>
      </c>
      <c r="M78" s="6" t="s">
        <v>107</v>
      </c>
    </row>
    <row r="79" spans="1:13" ht="27.75" x14ac:dyDescent="0.2">
      <c r="A79" s="5">
        <v>75</v>
      </c>
      <c r="B79" s="5" t="s">
        <v>77</v>
      </c>
      <c r="C79" s="5" t="s">
        <v>108</v>
      </c>
      <c r="D79" s="5" t="s">
        <v>108</v>
      </c>
      <c r="E79" s="5" t="s">
        <v>102</v>
      </c>
      <c r="F79" s="5" t="s">
        <v>63</v>
      </c>
      <c r="G79" s="5" t="s">
        <v>64</v>
      </c>
      <c r="H79" s="5" t="s">
        <v>63</v>
      </c>
      <c r="I79" s="5" t="s">
        <v>103</v>
      </c>
      <c r="J79" s="5" t="s">
        <v>302</v>
      </c>
      <c r="K79" s="5" t="s">
        <v>105</v>
      </c>
      <c r="L79" s="5" t="s">
        <v>303</v>
      </c>
      <c r="M79" s="5" t="s">
        <v>107</v>
      </c>
    </row>
    <row r="80" spans="1:13" ht="27.75" x14ac:dyDescent="0.2">
      <c r="A80" s="6">
        <v>76</v>
      </c>
      <c r="B80" s="6" t="s">
        <v>77</v>
      </c>
      <c r="C80" s="6" t="s">
        <v>243</v>
      </c>
      <c r="D80" s="6" t="s">
        <v>243</v>
      </c>
      <c r="E80" s="6" t="s">
        <v>102</v>
      </c>
      <c r="F80" s="6" t="s">
        <v>63</v>
      </c>
      <c r="G80" s="6" t="s">
        <v>63</v>
      </c>
      <c r="H80" s="6" t="s">
        <v>63</v>
      </c>
      <c r="I80" s="6" t="s">
        <v>103</v>
      </c>
      <c r="J80" s="6" t="s">
        <v>304</v>
      </c>
      <c r="K80" s="6" t="s">
        <v>105</v>
      </c>
      <c r="L80" s="6" t="s">
        <v>305</v>
      </c>
      <c r="M80" s="6" t="s">
        <v>107</v>
      </c>
    </row>
    <row r="81" spans="1:13" ht="27.75" x14ac:dyDescent="0.2">
      <c r="A81" s="5">
        <v>77</v>
      </c>
      <c r="B81" s="5" t="s">
        <v>77</v>
      </c>
      <c r="C81" s="5" t="s">
        <v>306</v>
      </c>
      <c r="D81" s="5" t="s">
        <v>306</v>
      </c>
      <c r="E81" s="5" t="s">
        <v>102</v>
      </c>
      <c r="F81" s="5" t="s">
        <v>64</v>
      </c>
      <c r="G81" s="5" t="s">
        <v>64</v>
      </c>
      <c r="H81" s="5" t="s">
        <v>63</v>
      </c>
      <c r="I81" s="5" t="s">
        <v>103</v>
      </c>
      <c r="J81" s="5" t="s">
        <v>307</v>
      </c>
      <c r="K81" s="5" t="s">
        <v>105</v>
      </c>
      <c r="L81" s="5" t="s">
        <v>308</v>
      </c>
      <c r="M81" s="5" t="s">
        <v>107</v>
      </c>
    </row>
    <row r="82" spans="1:13" ht="27.75" x14ac:dyDescent="0.2">
      <c r="A82" s="6">
        <v>78</v>
      </c>
      <c r="B82" s="6" t="s">
        <v>77</v>
      </c>
      <c r="C82" s="6" t="s">
        <v>309</v>
      </c>
      <c r="D82" s="6" t="s">
        <v>309</v>
      </c>
      <c r="E82" s="6" t="s">
        <v>102</v>
      </c>
      <c r="F82" s="6" t="s">
        <v>64</v>
      </c>
      <c r="G82" s="6" t="s">
        <v>64</v>
      </c>
      <c r="H82" s="6" t="s">
        <v>63</v>
      </c>
      <c r="I82" s="6" t="s">
        <v>103</v>
      </c>
      <c r="J82" s="6" t="s">
        <v>309</v>
      </c>
      <c r="K82" s="6" t="s">
        <v>105</v>
      </c>
      <c r="L82" s="6" t="s">
        <v>310</v>
      </c>
      <c r="M82" s="6" t="s">
        <v>107</v>
      </c>
    </row>
    <row r="83" spans="1:13" ht="27.75" x14ac:dyDescent="0.2">
      <c r="A83" s="5">
        <v>79</v>
      </c>
      <c r="B83" s="5" t="s">
        <v>77</v>
      </c>
      <c r="C83" s="5" t="s">
        <v>311</v>
      </c>
      <c r="D83" s="5" t="s">
        <v>311</v>
      </c>
      <c r="E83" s="5" t="s">
        <v>102</v>
      </c>
      <c r="F83" s="5" t="s">
        <v>64</v>
      </c>
      <c r="G83" s="5" t="s">
        <v>64</v>
      </c>
      <c r="H83" s="5" t="s">
        <v>63</v>
      </c>
      <c r="I83" s="5" t="s">
        <v>103</v>
      </c>
      <c r="J83" s="5" t="s">
        <v>312</v>
      </c>
      <c r="K83" s="5" t="s">
        <v>105</v>
      </c>
      <c r="L83" s="5" t="s">
        <v>313</v>
      </c>
      <c r="M83" s="5" t="s">
        <v>107</v>
      </c>
    </row>
    <row r="84" spans="1:13" ht="27.75" x14ac:dyDescent="0.2">
      <c r="A84" s="6">
        <v>80</v>
      </c>
      <c r="B84" s="6" t="s">
        <v>77</v>
      </c>
      <c r="C84" s="6" t="s">
        <v>314</v>
      </c>
      <c r="D84" s="6" t="s">
        <v>314</v>
      </c>
      <c r="E84" s="6" t="s">
        <v>124</v>
      </c>
      <c r="F84" s="6" t="s">
        <v>64</v>
      </c>
      <c r="G84" s="6" t="s">
        <v>63</v>
      </c>
      <c r="H84" s="6" t="s">
        <v>63</v>
      </c>
      <c r="I84" s="6" t="s">
        <v>125</v>
      </c>
      <c r="J84" s="6" t="s">
        <v>315</v>
      </c>
      <c r="K84" s="6" t="s">
        <v>105</v>
      </c>
      <c r="L84" s="6" t="s">
        <v>316</v>
      </c>
      <c r="M84" s="6" t="s">
        <v>107</v>
      </c>
    </row>
    <row r="85" spans="1:13" ht="41.25" x14ac:dyDescent="0.2">
      <c r="A85" s="5">
        <v>81</v>
      </c>
      <c r="B85" s="5" t="s">
        <v>77</v>
      </c>
      <c r="C85" s="5" t="s">
        <v>317</v>
      </c>
      <c r="D85" s="5" t="s">
        <v>317</v>
      </c>
      <c r="E85" s="5" t="s">
        <v>174</v>
      </c>
      <c r="F85" s="5" t="s">
        <v>64</v>
      </c>
      <c r="G85" s="5" t="s">
        <v>64</v>
      </c>
      <c r="H85" s="5" t="s">
        <v>63</v>
      </c>
      <c r="I85" s="5" t="s">
        <v>175</v>
      </c>
      <c r="J85" s="5" t="s">
        <v>318</v>
      </c>
      <c r="K85" s="5" t="s">
        <v>105</v>
      </c>
      <c r="L85" s="5" t="s">
        <v>319</v>
      </c>
      <c r="M85" s="5" t="s">
        <v>107</v>
      </c>
    </row>
    <row r="86" spans="1:13" ht="27.75" x14ac:dyDescent="0.2">
      <c r="A86" s="6">
        <v>82</v>
      </c>
      <c r="B86" s="6" t="s">
        <v>77</v>
      </c>
      <c r="C86" s="6" t="s">
        <v>320</v>
      </c>
      <c r="D86" s="6" t="s">
        <v>320</v>
      </c>
      <c r="E86" s="6" t="s">
        <v>174</v>
      </c>
      <c r="F86" s="6" t="s">
        <v>63</v>
      </c>
      <c r="G86" s="6" t="s">
        <v>63</v>
      </c>
      <c r="H86" s="6" t="s">
        <v>63</v>
      </c>
      <c r="I86" s="6" t="s">
        <v>175</v>
      </c>
      <c r="J86" s="6" t="s">
        <v>321</v>
      </c>
      <c r="K86" s="6" t="s">
        <v>105</v>
      </c>
      <c r="L86" s="6" t="s">
        <v>322</v>
      </c>
      <c r="M86" s="6" t="s">
        <v>107</v>
      </c>
    </row>
    <row r="87" spans="1:13" ht="27.75" x14ac:dyDescent="0.2">
      <c r="A87" s="5">
        <v>83</v>
      </c>
      <c r="B87" s="5" t="s">
        <v>77</v>
      </c>
      <c r="C87" s="5" t="s">
        <v>323</v>
      </c>
      <c r="D87" s="5" t="s">
        <v>323</v>
      </c>
      <c r="E87" s="5" t="s">
        <v>102</v>
      </c>
      <c r="F87" s="5" t="s">
        <v>63</v>
      </c>
      <c r="G87" s="5" t="s">
        <v>63</v>
      </c>
      <c r="H87" s="5" t="s">
        <v>63</v>
      </c>
      <c r="I87" s="5" t="s">
        <v>103</v>
      </c>
      <c r="J87" s="5" t="s">
        <v>324</v>
      </c>
      <c r="K87" s="5" t="s">
        <v>105</v>
      </c>
      <c r="L87" s="5" t="s">
        <v>325</v>
      </c>
      <c r="M87" s="5" t="s">
        <v>107</v>
      </c>
    </row>
    <row r="88" spans="1:13" ht="27.75" x14ac:dyDescent="0.2">
      <c r="A88" s="6">
        <v>84</v>
      </c>
      <c r="B88" s="6" t="s">
        <v>77</v>
      </c>
      <c r="C88" s="6" t="s">
        <v>326</v>
      </c>
      <c r="D88" s="6" t="s">
        <v>326</v>
      </c>
      <c r="E88" s="6" t="s">
        <v>124</v>
      </c>
      <c r="F88" s="6" t="s">
        <v>63</v>
      </c>
      <c r="G88" s="6" t="s">
        <v>63</v>
      </c>
      <c r="H88" s="6" t="s">
        <v>63</v>
      </c>
      <c r="I88" s="6" t="s">
        <v>125</v>
      </c>
      <c r="J88" s="6" t="s">
        <v>327</v>
      </c>
      <c r="K88" s="6" t="s">
        <v>105</v>
      </c>
      <c r="L88" s="6" t="s">
        <v>328</v>
      </c>
      <c r="M88" s="6" t="s">
        <v>107</v>
      </c>
    </row>
    <row r="89" spans="1:13" ht="27.75" x14ac:dyDescent="0.2">
      <c r="A89" s="5">
        <v>85</v>
      </c>
      <c r="B89" s="5" t="s">
        <v>81</v>
      </c>
      <c r="C89" s="5" t="s">
        <v>83</v>
      </c>
      <c r="D89" s="5" t="s">
        <v>83</v>
      </c>
      <c r="E89" s="5" t="s">
        <v>102</v>
      </c>
      <c r="F89" s="5" t="s">
        <v>64</v>
      </c>
      <c r="G89" s="5" t="s">
        <v>64</v>
      </c>
      <c r="H89" s="5" t="s">
        <v>64</v>
      </c>
      <c r="I89" s="5" t="s">
        <v>103</v>
      </c>
      <c r="J89" s="5" t="s">
        <v>329</v>
      </c>
      <c r="K89" s="5" t="s">
        <v>105</v>
      </c>
      <c r="L89" s="5" t="s">
        <v>330</v>
      </c>
      <c r="M89" s="5" t="s">
        <v>107</v>
      </c>
    </row>
    <row r="90" spans="1:13" ht="27.75" x14ac:dyDescent="0.2">
      <c r="A90" s="6">
        <v>86</v>
      </c>
      <c r="B90" s="6" t="s">
        <v>81</v>
      </c>
      <c r="C90" s="6" t="s">
        <v>331</v>
      </c>
      <c r="D90" s="6" t="s">
        <v>331</v>
      </c>
      <c r="E90" s="6" t="s">
        <v>124</v>
      </c>
      <c r="F90" s="6" t="s">
        <v>63</v>
      </c>
      <c r="G90" s="6" t="s">
        <v>63</v>
      </c>
      <c r="H90" s="6" t="s">
        <v>63</v>
      </c>
      <c r="I90" s="6" t="s">
        <v>125</v>
      </c>
      <c r="J90" s="6" t="s">
        <v>332</v>
      </c>
      <c r="K90" s="6" t="s">
        <v>105</v>
      </c>
      <c r="L90" s="6" t="s">
        <v>333</v>
      </c>
      <c r="M90" s="6" t="s">
        <v>107</v>
      </c>
    </row>
    <row r="91" spans="1:13" ht="27.75" x14ac:dyDescent="0.2">
      <c r="A91" s="5">
        <v>87</v>
      </c>
      <c r="B91" s="5" t="s">
        <v>81</v>
      </c>
      <c r="C91" s="5" t="s">
        <v>334</v>
      </c>
      <c r="D91" s="5" t="s">
        <v>334</v>
      </c>
      <c r="E91" s="5" t="s">
        <v>102</v>
      </c>
      <c r="F91" s="5" t="s">
        <v>64</v>
      </c>
      <c r="G91" s="5" t="s">
        <v>63</v>
      </c>
      <c r="H91" s="5" t="s">
        <v>63</v>
      </c>
      <c r="I91" s="5" t="s">
        <v>103</v>
      </c>
      <c r="J91" s="5" t="s">
        <v>335</v>
      </c>
      <c r="K91" s="5" t="s">
        <v>105</v>
      </c>
      <c r="L91" s="5" t="s">
        <v>336</v>
      </c>
      <c r="M91" s="5" t="s">
        <v>107</v>
      </c>
    </row>
    <row r="92" spans="1:13" ht="27.75" x14ac:dyDescent="0.2">
      <c r="A92" s="6">
        <v>88</v>
      </c>
      <c r="B92" s="6" t="s">
        <v>81</v>
      </c>
      <c r="C92" s="6" t="s">
        <v>337</v>
      </c>
      <c r="D92" s="6" t="s">
        <v>337</v>
      </c>
      <c r="E92" s="6" t="s">
        <v>208</v>
      </c>
      <c r="F92" s="6" t="s">
        <v>64</v>
      </c>
      <c r="G92" s="6" t="s">
        <v>63</v>
      </c>
      <c r="H92" s="6" t="s">
        <v>63</v>
      </c>
      <c r="I92" s="6"/>
      <c r="J92" s="6" t="s">
        <v>338</v>
      </c>
      <c r="K92" s="6" t="s">
        <v>105</v>
      </c>
      <c r="L92" s="6" t="s">
        <v>339</v>
      </c>
      <c r="M92" s="6" t="s">
        <v>107</v>
      </c>
    </row>
    <row r="93" spans="1:13" ht="27.75" x14ac:dyDescent="0.2">
      <c r="A93" s="5">
        <v>89</v>
      </c>
      <c r="B93" s="5" t="s">
        <v>81</v>
      </c>
      <c r="C93" s="5" t="s">
        <v>340</v>
      </c>
      <c r="D93" s="5" t="s">
        <v>340</v>
      </c>
      <c r="E93" s="5" t="s">
        <v>124</v>
      </c>
      <c r="F93" s="5" t="s">
        <v>63</v>
      </c>
      <c r="G93" s="5" t="s">
        <v>63</v>
      </c>
      <c r="H93" s="5" t="s">
        <v>63</v>
      </c>
      <c r="I93" s="5" t="s">
        <v>125</v>
      </c>
      <c r="J93" s="5" t="s">
        <v>341</v>
      </c>
      <c r="K93" s="5" t="s">
        <v>105</v>
      </c>
      <c r="L93" s="5" t="s">
        <v>342</v>
      </c>
      <c r="M93" s="5" t="s">
        <v>107</v>
      </c>
    </row>
    <row r="94" spans="1:13" ht="27.75" x14ac:dyDescent="0.2">
      <c r="A94" s="6">
        <v>90</v>
      </c>
      <c r="B94" s="6" t="s">
        <v>81</v>
      </c>
      <c r="C94" s="6" t="s">
        <v>343</v>
      </c>
      <c r="D94" s="6" t="s">
        <v>343</v>
      </c>
      <c r="E94" s="6" t="s">
        <v>208</v>
      </c>
      <c r="F94" s="6" t="s">
        <v>64</v>
      </c>
      <c r="G94" s="6" t="s">
        <v>63</v>
      </c>
      <c r="H94" s="6" t="s">
        <v>63</v>
      </c>
      <c r="I94" s="6"/>
      <c r="J94" s="6" t="s">
        <v>344</v>
      </c>
      <c r="K94" s="6" t="s">
        <v>105</v>
      </c>
      <c r="L94" s="6" t="s">
        <v>345</v>
      </c>
      <c r="M94" s="6" t="s">
        <v>107</v>
      </c>
    </row>
    <row r="95" spans="1:13" ht="27.75" x14ac:dyDescent="0.2">
      <c r="A95" s="5">
        <v>91</v>
      </c>
      <c r="B95" s="5" t="s">
        <v>84</v>
      </c>
      <c r="C95" s="5" t="s">
        <v>86</v>
      </c>
      <c r="D95" s="5" t="s">
        <v>86</v>
      </c>
      <c r="E95" s="5" t="s">
        <v>102</v>
      </c>
      <c r="F95" s="5" t="s">
        <v>64</v>
      </c>
      <c r="G95" s="5" t="s">
        <v>64</v>
      </c>
      <c r="H95" s="5" t="s">
        <v>64</v>
      </c>
      <c r="I95" s="5" t="s">
        <v>103</v>
      </c>
      <c r="J95" s="5" t="s">
        <v>346</v>
      </c>
      <c r="K95" s="5" t="s">
        <v>105</v>
      </c>
      <c r="L95" s="5" t="s">
        <v>347</v>
      </c>
      <c r="M95" s="5" t="s">
        <v>107</v>
      </c>
    </row>
    <row r="96" spans="1:13" ht="27.75" x14ac:dyDescent="0.2">
      <c r="A96" s="6">
        <v>92</v>
      </c>
      <c r="B96" s="6" t="s">
        <v>84</v>
      </c>
      <c r="C96" s="6" t="s">
        <v>61</v>
      </c>
      <c r="D96" s="6" t="s">
        <v>61</v>
      </c>
      <c r="E96" s="6" t="s">
        <v>102</v>
      </c>
      <c r="F96" s="6" t="s">
        <v>64</v>
      </c>
      <c r="G96" s="6" t="s">
        <v>64</v>
      </c>
      <c r="H96" s="6" t="s">
        <v>63</v>
      </c>
      <c r="I96" s="6" t="s">
        <v>103</v>
      </c>
      <c r="J96" s="6" t="s">
        <v>219</v>
      </c>
      <c r="K96" s="6" t="s">
        <v>105</v>
      </c>
      <c r="L96" s="6" t="s">
        <v>220</v>
      </c>
      <c r="M96" s="6" t="s">
        <v>107</v>
      </c>
    </row>
    <row r="97" spans="1:13" ht="27.75" x14ac:dyDescent="0.2">
      <c r="A97" s="5">
        <v>93</v>
      </c>
      <c r="B97" s="5" t="s">
        <v>84</v>
      </c>
      <c r="C97" s="5" t="s">
        <v>348</v>
      </c>
      <c r="D97" s="5" t="s">
        <v>348</v>
      </c>
      <c r="E97" s="5" t="s">
        <v>102</v>
      </c>
      <c r="F97" s="5" t="s">
        <v>64</v>
      </c>
      <c r="G97" s="5" t="s">
        <v>63</v>
      </c>
      <c r="H97" s="5" t="s">
        <v>63</v>
      </c>
      <c r="I97" s="5" t="s">
        <v>103</v>
      </c>
      <c r="J97" s="5" t="s">
        <v>349</v>
      </c>
      <c r="K97" s="5" t="s">
        <v>105</v>
      </c>
      <c r="L97" s="5" t="s">
        <v>350</v>
      </c>
      <c r="M97" s="5" t="s">
        <v>107</v>
      </c>
    </row>
    <row r="98" spans="1:13" ht="27.75" x14ac:dyDescent="0.2">
      <c r="A98" s="6">
        <v>94</v>
      </c>
      <c r="B98" s="6" t="s">
        <v>84</v>
      </c>
      <c r="C98" s="6" t="s">
        <v>351</v>
      </c>
      <c r="D98" s="6" t="s">
        <v>351</v>
      </c>
      <c r="E98" s="6" t="s">
        <v>102</v>
      </c>
      <c r="F98" s="6" t="s">
        <v>64</v>
      </c>
      <c r="G98" s="6" t="s">
        <v>63</v>
      </c>
      <c r="H98" s="6" t="s">
        <v>63</v>
      </c>
      <c r="I98" s="6" t="s">
        <v>103</v>
      </c>
      <c r="J98" s="6" t="s">
        <v>352</v>
      </c>
      <c r="K98" s="6" t="s">
        <v>105</v>
      </c>
      <c r="L98" s="6" t="s">
        <v>353</v>
      </c>
      <c r="M98" s="6" t="s">
        <v>107</v>
      </c>
    </row>
    <row r="99" spans="1:13" ht="27.75" x14ac:dyDescent="0.2">
      <c r="A99" s="5">
        <v>95</v>
      </c>
      <c r="B99" s="5" t="s">
        <v>84</v>
      </c>
      <c r="C99" s="5" t="s">
        <v>354</v>
      </c>
      <c r="D99" s="5" t="s">
        <v>354</v>
      </c>
      <c r="E99" s="5" t="s">
        <v>102</v>
      </c>
      <c r="F99" s="5" t="s">
        <v>63</v>
      </c>
      <c r="G99" s="5" t="s">
        <v>64</v>
      </c>
      <c r="H99" s="5" t="s">
        <v>63</v>
      </c>
      <c r="I99" s="5" t="s">
        <v>103</v>
      </c>
      <c r="J99" s="5" t="s">
        <v>355</v>
      </c>
      <c r="K99" s="5" t="s">
        <v>105</v>
      </c>
      <c r="L99" s="5" t="s">
        <v>356</v>
      </c>
      <c r="M99" s="5" t="s">
        <v>107</v>
      </c>
    </row>
    <row r="100" spans="1:13" ht="27.75" x14ac:dyDescent="0.2">
      <c r="A100" s="6">
        <v>96</v>
      </c>
      <c r="B100" s="6" t="s">
        <v>84</v>
      </c>
      <c r="C100" s="6" t="s">
        <v>357</v>
      </c>
      <c r="D100" s="6" t="s">
        <v>357</v>
      </c>
      <c r="E100" s="6" t="s">
        <v>102</v>
      </c>
      <c r="F100" s="6" t="s">
        <v>64</v>
      </c>
      <c r="G100" s="6" t="s">
        <v>63</v>
      </c>
      <c r="H100" s="6" t="s">
        <v>63</v>
      </c>
      <c r="I100" s="6" t="s">
        <v>103</v>
      </c>
      <c r="J100" s="6" t="s">
        <v>358</v>
      </c>
      <c r="K100" s="6" t="s">
        <v>105</v>
      </c>
      <c r="L100" s="6" t="s">
        <v>359</v>
      </c>
      <c r="M100" s="6" t="s">
        <v>107</v>
      </c>
    </row>
    <row r="101" spans="1:13" ht="27.75" x14ac:dyDescent="0.2">
      <c r="A101" s="5">
        <v>97</v>
      </c>
      <c r="B101" s="5" t="s">
        <v>84</v>
      </c>
      <c r="C101" s="5" t="s">
        <v>360</v>
      </c>
      <c r="D101" s="5" t="s">
        <v>360</v>
      </c>
      <c r="E101" s="5" t="s">
        <v>102</v>
      </c>
      <c r="F101" s="5" t="s">
        <v>64</v>
      </c>
      <c r="G101" s="5" t="s">
        <v>63</v>
      </c>
      <c r="H101" s="5" t="s">
        <v>63</v>
      </c>
      <c r="I101" s="5" t="s">
        <v>103</v>
      </c>
      <c r="J101" s="5" t="s">
        <v>361</v>
      </c>
      <c r="K101" s="5" t="s">
        <v>105</v>
      </c>
      <c r="L101" s="5" t="s">
        <v>362</v>
      </c>
      <c r="M101" s="5" t="s">
        <v>107</v>
      </c>
    </row>
    <row r="102" spans="1:13" ht="27.75" x14ac:dyDescent="0.2">
      <c r="A102" s="6">
        <v>98</v>
      </c>
      <c r="B102" s="6" t="s">
        <v>84</v>
      </c>
      <c r="C102" s="6" t="s">
        <v>363</v>
      </c>
      <c r="D102" s="6" t="s">
        <v>363</v>
      </c>
      <c r="E102" s="6" t="s">
        <v>208</v>
      </c>
      <c r="F102" s="6" t="s">
        <v>64</v>
      </c>
      <c r="G102" s="6" t="s">
        <v>63</v>
      </c>
      <c r="H102" s="6" t="s">
        <v>63</v>
      </c>
      <c r="I102" s="6"/>
      <c r="J102" s="6" t="s">
        <v>364</v>
      </c>
      <c r="K102" s="6" t="s">
        <v>105</v>
      </c>
      <c r="L102" s="6" t="s">
        <v>365</v>
      </c>
      <c r="M102" s="6" t="s">
        <v>107</v>
      </c>
    </row>
    <row r="103" spans="1:13" ht="27.75" x14ac:dyDescent="0.2">
      <c r="A103" s="5">
        <v>99</v>
      </c>
      <c r="B103" s="5" t="s">
        <v>84</v>
      </c>
      <c r="C103" s="5" t="s">
        <v>366</v>
      </c>
      <c r="D103" s="5" t="s">
        <v>366</v>
      </c>
      <c r="E103" s="5" t="s">
        <v>174</v>
      </c>
      <c r="F103" s="5" t="s">
        <v>63</v>
      </c>
      <c r="G103" s="5" t="s">
        <v>63</v>
      </c>
      <c r="H103" s="5" t="s">
        <v>63</v>
      </c>
      <c r="I103" s="5" t="s">
        <v>175</v>
      </c>
      <c r="J103" s="5" t="s">
        <v>367</v>
      </c>
      <c r="K103" s="5" t="s">
        <v>105</v>
      </c>
      <c r="L103" s="5" t="s">
        <v>368</v>
      </c>
      <c r="M103" s="5" t="s">
        <v>107</v>
      </c>
    </row>
    <row r="104" spans="1:13" ht="27.75" x14ac:dyDescent="0.2">
      <c r="A104" s="6">
        <v>100</v>
      </c>
      <c r="B104" s="6" t="s">
        <v>84</v>
      </c>
      <c r="C104" s="6" t="s">
        <v>369</v>
      </c>
      <c r="D104" s="6" t="s">
        <v>369</v>
      </c>
      <c r="E104" s="6" t="s">
        <v>174</v>
      </c>
      <c r="F104" s="6" t="s">
        <v>63</v>
      </c>
      <c r="G104" s="6" t="s">
        <v>63</v>
      </c>
      <c r="H104" s="6" t="s">
        <v>63</v>
      </c>
      <c r="I104" s="6" t="s">
        <v>175</v>
      </c>
      <c r="J104" s="6" t="s">
        <v>370</v>
      </c>
      <c r="K104" s="6" t="s">
        <v>105</v>
      </c>
      <c r="L104" s="6" t="s">
        <v>371</v>
      </c>
      <c r="M104" s="6" t="s">
        <v>107</v>
      </c>
    </row>
    <row r="105" spans="1:13" ht="27.75" x14ac:dyDescent="0.2">
      <c r="A105" s="5">
        <v>101</v>
      </c>
      <c r="B105" s="5" t="s">
        <v>84</v>
      </c>
      <c r="C105" s="5" t="s">
        <v>158</v>
      </c>
      <c r="D105" s="5" t="s">
        <v>158</v>
      </c>
      <c r="E105" s="5" t="s">
        <v>102</v>
      </c>
      <c r="F105" s="5" t="s">
        <v>64</v>
      </c>
      <c r="G105" s="5" t="s">
        <v>63</v>
      </c>
      <c r="H105" s="5" t="s">
        <v>63</v>
      </c>
      <c r="I105" s="5" t="s">
        <v>103</v>
      </c>
      <c r="J105" s="5" t="s">
        <v>372</v>
      </c>
      <c r="K105" s="5" t="s">
        <v>105</v>
      </c>
      <c r="L105" s="5" t="s">
        <v>294</v>
      </c>
      <c r="M105" s="5" t="s">
        <v>107</v>
      </c>
    </row>
  </sheetData>
  <mergeCells count="2">
    <mergeCell ref="A2:M2"/>
    <mergeCell ref="A1:M1"/>
  </mergeCells>
  <pageMargins left="0.75" right="0.75" top="1" bottom="1" header="0.5" footer="0.5"/>
  <pageSetup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6"/>
  <sheetViews>
    <sheetView showGridLines="0" zoomScale="85" workbookViewId="0">
      <pane ySplit="4" topLeftCell="A5" activePane="bottomLeft" state="frozen"/>
      <selection pane="bottomLeft"/>
    </sheetView>
  </sheetViews>
  <sheetFormatPr defaultRowHeight="15" x14ac:dyDescent="0.2"/>
  <cols>
    <col min="1" max="2" width="34.03125" customWidth="1"/>
    <col min="3" max="3" width="22.05859375" customWidth="1"/>
    <col min="4" max="4" width="16.0078125" customWidth="1"/>
    <col min="5" max="5" width="11.97265625" customWidth="1"/>
    <col min="6" max="6" width="64.97265625" customWidth="1"/>
    <col min="7" max="7" width="13.046875" customWidth="1"/>
    <col min="8" max="8" width="41.96875" customWidth="1"/>
    <col min="9" max="9" width="34.97265625" customWidth="1"/>
  </cols>
  <sheetData>
    <row r="1" spans="1:9" ht="30" customHeight="1" x14ac:dyDescent="0.2">
      <c r="A1" s="12" t="s">
        <v>373</v>
      </c>
      <c r="B1" s="10"/>
      <c r="C1" s="10"/>
      <c r="D1" s="10"/>
      <c r="E1" s="10"/>
      <c r="F1" s="10"/>
      <c r="G1" s="10"/>
      <c r="H1" s="10"/>
      <c r="I1" s="10"/>
    </row>
    <row r="2" spans="1:9" ht="32.1" customHeight="1" x14ac:dyDescent="0.2">
      <c r="A2" s="11" t="s">
        <v>374</v>
      </c>
      <c r="B2" s="10"/>
      <c r="C2" s="10"/>
      <c r="D2" s="10"/>
      <c r="E2" s="10"/>
      <c r="F2" s="10"/>
      <c r="G2" s="10"/>
      <c r="H2" s="10"/>
      <c r="I2" s="10"/>
    </row>
    <row r="4" spans="1:9" x14ac:dyDescent="0.2">
      <c r="A4" s="4" t="s">
        <v>375</v>
      </c>
      <c r="B4" s="4" t="s">
        <v>83</v>
      </c>
      <c r="C4" s="4" t="s">
        <v>331</v>
      </c>
      <c r="D4" s="4" t="s">
        <v>334</v>
      </c>
      <c r="E4" s="4" t="s">
        <v>337</v>
      </c>
      <c r="F4" s="4" t="s">
        <v>48</v>
      </c>
      <c r="G4" s="4" t="s">
        <v>343</v>
      </c>
      <c r="H4" s="4" t="s">
        <v>376</v>
      </c>
      <c r="I4" s="4" t="s">
        <v>58</v>
      </c>
    </row>
    <row r="5" spans="1:9" ht="27.75" x14ac:dyDescent="0.2">
      <c r="A5" s="5" t="s">
        <v>377</v>
      </c>
      <c r="B5" s="5" t="s">
        <v>377</v>
      </c>
      <c r="C5" s="5" t="s">
        <v>378</v>
      </c>
      <c r="D5" s="5" t="s">
        <v>379</v>
      </c>
      <c r="E5" s="5" t="s">
        <v>63</v>
      </c>
      <c r="F5" s="5" t="s">
        <v>380</v>
      </c>
      <c r="G5" s="5" t="s">
        <v>64</v>
      </c>
      <c r="H5" s="5" t="s">
        <v>381</v>
      </c>
      <c r="I5" s="5" t="s">
        <v>382</v>
      </c>
    </row>
    <row r="6" spans="1:9" ht="27.75" x14ac:dyDescent="0.2">
      <c r="A6" s="6" t="s">
        <v>383</v>
      </c>
      <c r="B6" s="6" t="s">
        <v>383</v>
      </c>
      <c r="C6" s="6" t="s">
        <v>384</v>
      </c>
      <c r="D6" s="6" t="s">
        <v>385</v>
      </c>
      <c r="E6" s="6" t="s">
        <v>63</v>
      </c>
      <c r="F6" s="6" t="s">
        <v>386</v>
      </c>
      <c r="G6" s="6" t="s">
        <v>64</v>
      </c>
      <c r="H6" s="6" t="s">
        <v>381</v>
      </c>
      <c r="I6" s="6" t="s">
        <v>382</v>
      </c>
    </row>
    <row r="7" spans="1:9" ht="27.75" x14ac:dyDescent="0.2">
      <c r="A7" s="5" t="s">
        <v>387</v>
      </c>
      <c r="B7" s="5" t="s">
        <v>387</v>
      </c>
      <c r="C7" s="5" t="s">
        <v>388</v>
      </c>
      <c r="D7" s="5" t="s">
        <v>385</v>
      </c>
      <c r="E7" s="5" t="s">
        <v>63</v>
      </c>
      <c r="F7" s="5" t="s">
        <v>389</v>
      </c>
      <c r="G7" s="5" t="s">
        <v>64</v>
      </c>
      <c r="H7" s="5" t="s">
        <v>381</v>
      </c>
      <c r="I7" s="5" t="s">
        <v>382</v>
      </c>
    </row>
    <row r="8" spans="1:9" ht="27.75" x14ac:dyDescent="0.2">
      <c r="A8" s="6" t="s">
        <v>390</v>
      </c>
      <c r="B8" s="6" t="s">
        <v>390</v>
      </c>
      <c r="C8" s="6" t="s">
        <v>391</v>
      </c>
      <c r="D8" s="6" t="s">
        <v>385</v>
      </c>
      <c r="E8" s="6" t="s">
        <v>63</v>
      </c>
      <c r="F8" s="6" t="s">
        <v>392</v>
      </c>
      <c r="G8" s="6" t="s">
        <v>64</v>
      </c>
      <c r="H8" s="6" t="s">
        <v>381</v>
      </c>
      <c r="I8" s="6" t="s">
        <v>382</v>
      </c>
    </row>
    <row r="9" spans="1:9" ht="27.75" x14ac:dyDescent="0.2">
      <c r="A9" s="5" t="s">
        <v>393</v>
      </c>
      <c r="B9" s="5" t="s">
        <v>393</v>
      </c>
      <c r="C9" s="5" t="s">
        <v>394</v>
      </c>
      <c r="D9" s="5" t="s">
        <v>395</v>
      </c>
      <c r="E9" s="5" t="s">
        <v>63</v>
      </c>
      <c r="F9" s="5" t="s">
        <v>396</v>
      </c>
      <c r="G9" s="5" t="s">
        <v>64</v>
      </c>
      <c r="H9" s="5" t="s">
        <v>381</v>
      </c>
      <c r="I9" s="5" t="s">
        <v>382</v>
      </c>
    </row>
    <row r="10" spans="1:9" ht="27.75" x14ac:dyDescent="0.2">
      <c r="A10" s="6" t="s">
        <v>397</v>
      </c>
      <c r="B10" s="6" t="s">
        <v>397</v>
      </c>
      <c r="C10" s="6" t="s">
        <v>398</v>
      </c>
      <c r="D10" s="6" t="s">
        <v>208</v>
      </c>
      <c r="E10" s="6" t="s">
        <v>63</v>
      </c>
      <c r="F10" s="6" t="s">
        <v>399</v>
      </c>
      <c r="G10" s="6" t="s">
        <v>64</v>
      </c>
      <c r="H10" s="6" t="s">
        <v>381</v>
      </c>
      <c r="I10" s="6" t="s">
        <v>382</v>
      </c>
    </row>
    <row r="11" spans="1:9" ht="27.75" x14ac:dyDescent="0.2">
      <c r="A11" s="5" t="s">
        <v>400</v>
      </c>
      <c r="B11" s="5" t="s">
        <v>400</v>
      </c>
      <c r="C11" s="5" t="s">
        <v>398</v>
      </c>
      <c r="D11" s="5" t="s">
        <v>208</v>
      </c>
      <c r="E11" s="5" t="s">
        <v>63</v>
      </c>
      <c r="F11" s="5" t="s">
        <v>401</v>
      </c>
      <c r="G11" s="5" t="s">
        <v>64</v>
      </c>
      <c r="H11" s="5" t="s">
        <v>381</v>
      </c>
      <c r="I11" s="5" t="s">
        <v>382</v>
      </c>
    </row>
    <row r="12" spans="1:9" ht="27.75" x14ac:dyDescent="0.2">
      <c r="A12" s="6" t="s">
        <v>402</v>
      </c>
      <c r="B12" s="6" t="s">
        <v>402</v>
      </c>
      <c r="C12" s="6" t="s">
        <v>403</v>
      </c>
      <c r="D12" s="6" t="s">
        <v>208</v>
      </c>
      <c r="E12" s="6" t="s">
        <v>63</v>
      </c>
      <c r="F12" s="6" t="s">
        <v>404</v>
      </c>
      <c r="G12" s="6" t="s">
        <v>64</v>
      </c>
      <c r="H12" s="6" t="s">
        <v>381</v>
      </c>
      <c r="I12" s="6" t="s">
        <v>382</v>
      </c>
    </row>
    <row r="13" spans="1:9" ht="27.75" x14ac:dyDescent="0.2">
      <c r="A13" s="5" t="s">
        <v>405</v>
      </c>
      <c r="B13" s="5" t="s">
        <v>405</v>
      </c>
      <c r="C13" s="5" t="s">
        <v>403</v>
      </c>
      <c r="D13" s="5" t="s">
        <v>208</v>
      </c>
      <c r="E13" s="5" t="s">
        <v>63</v>
      </c>
      <c r="F13" s="5" t="s">
        <v>406</v>
      </c>
      <c r="G13" s="5" t="s">
        <v>64</v>
      </c>
      <c r="H13" s="5" t="s">
        <v>381</v>
      </c>
      <c r="I13" s="5" t="s">
        <v>382</v>
      </c>
    </row>
    <row r="14" spans="1:9" ht="27.75" x14ac:dyDescent="0.2">
      <c r="A14" s="6" t="s">
        <v>407</v>
      </c>
      <c r="B14" s="6" t="s">
        <v>407</v>
      </c>
      <c r="C14" s="6" t="s">
        <v>403</v>
      </c>
      <c r="D14" s="6" t="s">
        <v>208</v>
      </c>
      <c r="E14" s="6" t="s">
        <v>63</v>
      </c>
      <c r="F14" s="6" t="s">
        <v>408</v>
      </c>
      <c r="G14" s="6" t="s">
        <v>64</v>
      </c>
      <c r="H14" s="6" t="s">
        <v>381</v>
      </c>
      <c r="I14" s="6" t="s">
        <v>382</v>
      </c>
    </row>
    <row r="15" spans="1:9" ht="27.75" x14ac:dyDescent="0.2">
      <c r="A15" s="5" t="s">
        <v>409</v>
      </c>
      <c r="B15" s="5" t="s">
        <v>409</v>
      </c>
      <c r="C15" s="5" t="s">
        <v>384</v>
      </c>
      <c r="D15" s="5" t="s">
        <v>385</v>
      </c>
      <c r="E15" s="5" t="s">
        <v>63</v>
      </c>
      <c r="F15" s="5" t="s">
        <v>410</v>
      </c>
      <c r="G15" s="5" t="s">
        <v>64</v>
      </c>
      <c r="H15" s="5" t="s">
        <v>381</v>
      </c>
      <c r="I15" s="5" t="s">
        <v>382</v>
      </c>
    </row>
    <row r="16" spans="1:9" ht="27.75" x14ac:dyDescent="0.2">
      <c r="A16" s="6" t="s">
        <v>411</v>
      </c>
      <c r="B16" s="6" t="s">
        <v>411</v>
      </c>
      <c r="C16" s="6" t="s">
        <v>412</v>
      </c>
      <c r="D16" s="6" t="s">
        <v>385</v>
      </c>
      <c r="E16" s="6" t="s">
        <v>63</v>
      </c>
      <c r="F16" s="6" t="s">
        <v>413</v>
      </c>
      <c r="G16" s="6" t="s">
        <v>64</v>
      </c>
      <c r="H16" s="6" t="s">
        <v>381</v>
      </c>
      <c r="I16" s="6" t="s">
        <v>382</v>
      </c>
    </row>
  </sheetData>
  <mergeCells count="2">
    <mergeCell ref="A1:I1"/>
    <mergeCell ref="A2:I2"/>
  </mergeCells>
  <pageMargins left="0.75" right="0.75" top="1" bottom="1" header="0.5" footer="0.5"/>
  <pageSetup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1"/>
  <sheetViews>
    <sheetView showGridLines="0" zoomScale="85" workbookViewId="0">
      <pane ySplit="4" topLeftCell="A5" activePane="bottomLeft" state="frozen"/>
      <selection pane="bottomLeft"/>
    </sheetView>
  </sheetViews>
  <sheetFormatPr defaultRowHeight="15" x14ac:dyDescent="0.2"/>
  <cols>
    <col min="1" max="1" width="39.01171875" customWidth="1"/>
    <col min="2" max="2" width="27.98046875" customWidth="1"/>
    <col min="3" max="3" width="80.0390625" customWidth="1"/>
    <col min="4" max="4" width="75.0625" customWidth="1"/>
    <col min="5" max="5" width="62.015625" customWidth="1"/>
    <col min="6" max="6" width="34.97265625" customWidth="1"/>
  </cols>
  <sheetData>
    <row r="1" spans="1:6" ht="30" customHeight="1" x14ac:dyDescent="0.2">
      <c r="A1" s="12" t="s">
        <v>414</v>
      </c>
      <c r="B1" s="10"/>
      <c r="C1" s="10"/>
      <c r="D1" s="10"/>
      <c r="E1" s="10"/>
      <c r="F1" s="10"/>
    </row>
    <row r="2" spans="1:6" ht="32.1" customHeight="1" x14ac:dyDescent="0.2">
      <c r="A2" s="11" t="s">
        <v>415</v>
      </c>
      <c r="B2" s="10"/>
      <c r="C2" s="10"/>
      <c r="D2" s="10"/>
      <c r="E2" s="10"/>
      <c r="F2" s="10"/>
    </row>
    <row r="4" spans="1:6" x14ac:dyDescent="0.2">
      <c r="A4" s="4" t="s">
        <v>91</v>
      </c>
      <c r="B4" s="4" t="s">
        <v>416</v>
      </c>
      <c r="C4" s="4" t="s">
        <v>417</v>
      </c>
      <c r="D4" s="4" t="s">
        <v>418</v>
      </c>
      <c r="E4" s="4" t="s">
        <v>419</v>
      </c>
      <c r="F4" s="4" t="s">
        <v>58</v>
      </c>
    </row>
    <row r="5" spans="1:6" ht="27.75" x14ac:dyDescent="0.2">
      <c r="A5" s="5" t="s">
        <v>59</v>
      </c>
      <c r="B5" s="5" t="s">
        <v>420</v>
      </c>
      <c r="C5" s="5" t="s">
        <v>421</v>
      </c>
      <c r="D5" s="5" t="s">
        <v>422</v>
      </c>
      <c r="E5" s="5" t="s">
        <v>423</v>
      </c>
      <c r="F5" s="5" t="s">
        <v>424</v>
      </c>
    </row>
    <row r="6" spans="1:6" ht="27.75" x14ac:dyDescent="0.2">
      <c r="A6" s="6" t="s">
        <v>59</v>
      </c>
      <c r="B6" s="6" t="s">
        <v>425</v>
      </c>
      <c r="C6" s="6" t="s">
        <v>426</v>
      </c>
      <c r="D6" s="6" t="s">
        <v>427</v>
      </c>
      <c r="E6" s="6" t="s">
        <v>423</v>
      </c>
      <c r="F6" s="6" t="s">
        <v>424</v>
      </c>
    </row>
    <row r="7" spans="1:6" ht="27.75" x14ac:dyDescent="0.2">
      <c r="A7" s="5" t="s">
        <v>59</v>
      </c>
      <c r="B7" s="5" t="s">
        <v>428</v>
      </c>
      <c r="C7" s="5" t="s">
        <v>429</v>
      </c>
      <c r="D7" s="5" t="s">
        <v>430</v>
      </c>
      <c r="E7" s="5" t="s">
        <v>423</v>
      </c>
      <c r="F7" s="5" t="s">
        <v>424</v>
      </c>
    </row>
    <row r="8" spans="1:6" ht="27.75" x14ac:dyDescent="0.2">
      <c r="A8" s="6" t="s">
        <v>59</v>
      </c>
      <c r="B8" s="6" t="s">
        <v>431</v>
      </c>
      <c r="C8" s="6" t="s">
        <v>432</v>
      </c>
      <c r="D8" s="6" t="s">
        <v>433</v>
      </c>
      <c r="E8" s="6" t="s">
        <v>423</v>
      </c>
      <c r="F8" s="6" t="s">
        <v>424</v>
      </c>
    </row>
    <row r="9" spans="1:6" ht="27.75" x14ac:dyDescent="0.2">
      <c r="A9" s="5" t="s">
        <v>77</v>
      </c>
      <c r="B9" s="5" t="s">
        <v>80</v>
      </c>
      <c r="C9" s="5" t="s">
        <v>434</v>
      </c>
      <c r="D9" s="5" t="s">
        <v>435</v>
      </c>
      <c r="E9" s="5" t="s">
        <v>423</v>
      </c>
      <c r="F9" s="5" t="s">
        <v>424</v>
      </c>
    </row>
    <row r="10" spans="1:6" ht="27.75" x14ac:dyDescent="0.2">
      <c r="A10" s="6" t="s">
        <v>70</v>
      </c>
      <c r="B10" s="6" t="s">
        <v>73</v>
      </c>
      <c r="C10" s="6" t="s">
        <v>436</v>
      </c>
      <c r="D10" s="6" t="s">
        <v>437</v>
      </c>
      <c r="E10" s="6" t="s">
        <v>423</v>
      </c>
      <c r="F10" s="6" t="s">
        <v>424</v>
      </c>
    </row>
    <row r="11" spans="1:6" ht="27.75" x14ac:dyDescent="0.2">
      <c r="A11" s="5" t="s">
        <v>84</v>
      </c>
      <c r="B11" s="5" t="s">
        <v>87</v>
      </c>
      <c r="C11" s="5" t="s">
        <v>438</v>
      </c>
      <c r="D11" s="5" t="s">
        <v>439</v>
      </c>
      <c r="E11" s="5" t="s">
        <v>423</v>
      </c>
      <c r="F11" s="5" t="s">
        <v>424</v>
      </c>
    </row>
  </sheetData>
  <mergeCells count="2">
    <mergeCell ref="A2:F2"/>
    <mergeCell ref="A1:F1"/>
  </mergeCells>
  <pageMargins left="0.75" right="0.75" top="1" bottom="1" header="0.5" footer="0.5"/>
  <pageSetup fitToHeight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1"/>
  <sheetViews>
    <sheetView showGridLines="0" zoomScale="85" workbookViewId="0">
      <pane ySplit="4" topLeftCell="A5" activePane="bottomLeft" state="frozen"/>
      <selection pane="bottomLeft"/>
    </sheetView>
  </sheetViews>
  <sheetFormatPr defaultRowHeight="15" x14ac:dyDescent="0.2"/>
  <cols>
    <col min="1" max="1" width="39.01171875" customWidth="1"/>
    <col min="2" max="2" width="25.01953125" customWidth="1"/>
    <col min="3" max="4" width="18.0234375" customWidth="1"/>
    <col min="5" max="5" width="59.99609375" customWidth="1"/>
    <col min="6" max="6" width="41.96875" customWidth="1"/>
    <col min="7" max="7" width="34.97265625" customWidth="1"/>
  </cols>
  <sheetData>
    <row r="1" spans="1:7" ht="30" customHeight="1" x14ac:dyDescent="0.2">
      <c r="A1" s="12" t="s">
        <v>440</v>
      </c>
      <c r="B1" s="10"/>
      <c r="C1" s="10"/>
      <c r="D1" s="10"/>
      <c r="E1" s="10"/>
      <c r="F1" s="10"/>
      <c r="G1" s="10"/>
    </row>
    <row r="2" spans="1:7" ht="32.1" customHeight="1" x14ac:dyDescent="0.2">
      <c r="A2" s="11" t="s">
        <v>441</v>
      </c>
      <c r="B2" s="10"/>
      <c r="C2" s="10"/>
      <c r="D2" s="10"/>
      <c r="E2" s="10"/>
      <c r="F2" s="10"/>
      <c r="G2" s="10"/>
    </row>
    <row r="4" spans="1:7" x14ac:dyDescent="0.2">
      <c r="A4" s="4" t="s">
        <v>91</v>
      </c>
      <c r="B4" s="4" t="s">
        <v>442</v>
      </c>
      <c r="C4" s="4" t="s">
        <v>443</v>
      </c>
      <c r="D4" s="4" t="s">
        <v>444</v>
      </c>
      <c r="E4" s="4" t="s">
        <v>445</v>
      </c>
      <c r="F4" s="4" t="s">
        <v>446</v>
      </c>
      <c r="G4" s="4" t="s">
        <v>58</v>
      </c>
    </row>
    <row r="5" spans="1:7" ht="27.75" x14ac:dyDescent="0.2">
      <c r="A5" s="5" t="s">
        <v>59</v>
      </c>
      <c r="B5" s="5" t="s">
        <v>61</v>
      </c>
      <c r="C5" s="5" t="s">
        <v>64</v>
      </c>
      <c r="D5" s="5" t="s">
        <v>64</v>
      </c>
      <c r="E5" s="5" t="s">
        <v>447</v>
      </c>
      <c r="F5" s="5" t="s">
        <v>448</v>
      </c>
      <c r="G5" s="5" t="s">
        <v>449</v>
      </c>
    </row>
    <row r="6" spans="1:7" ht="27.75" x14ac:dyDescent="0.2">
      <c r="A6" s="6" t="s">
        <v>66</v>
      </c>
      <c r="B6" s="6" t="s">
        <v>68</v>
      </c>
      <c r="C6" s="6" t="s">
        <v>64</v>
      </c>
      <c r="D6" s="6" t="s">
        <v>64</v>
      </c>
      <c r="E6" s="6" t="s">
        <v>447</v>
      </c>
      <c r="F6" s="6" t="s">
        <v>448</v>
      </c>
      <c r="G6" s="6" t="s">
        <v>449</v>
      </c>
    </row>
    <row r="7" spans="1:7" ht="27.75" x14ac:dyDescent="0.2">
      <c r="A7" s="5" t="s">
        <v>70</v>
      </c>
      <c r="B7" s="5" t="s">
        <v>72</v>
      </c>
      <c r="C7" s="5" t="s">
        <v>64</v>
      </c>
      <c r="D7" s="5" t="s">
        <v>64</v>
      </c>
      <c r="E7" s="5" t="s">
        <v>447</v>
      </c>
      <c r="F7" s="5" t="s">
        <v>448</v>
      </c>
      <c r="G7" s="5" t="s">
        <v>449</v>
      </c>
    </row>
    <row r="8" spans="1:7" ht="27.75" x14ac:dyDescent="0.2">
      <c r="A8" s="6" t="s">
        <v>74</v>
      </c>
      <c r="B8" s="6" t="s">
        <v>76</v>
      </c>
      <c r="C8" s="6" t="s">
        <v>64</v>
      </c>
      <c r="D8" s="6" t="s">
        <v>64</v>
      </c>
      <c r="E8" s="6" t="s">
        <v>447</v>
      </c>
      <c r="F8" s="6" t="s">
        <v>448</v>
      </c>
      <c r="G8" s="6" t="s">
        <v>449</v>
      </c>
    </row>
    <row r="9" spans="1:7" ht="27.75" x14ac:dyDescent="0.2">
      <c r="A9" s="5" t="s">
        <v>77</v>
      </c>
      <c r="B9" s="5" t="s">
        <v>79</v>
      </c>
      <c r="C9" s="5" t="s">
        <v>64</v>
      </c>
      <c r="D9" s="5" t="s">
        <v>64</v>
      </c>
      <c r="E9" s="5" t="s">
        <v>447</v>
      </c>
      <c r="F9" s="5" t="s">
        <v>448</v>
      </c>
      <c r="G9" s="5" t="s">
        <v>449</v>
      </c>
    </row>
    <row r="10" spans="1:7" ht="27.75" x14ac:dyDescent="0.2">
      <c r="A10" s="6" t="s">
        <v>81</v>
      </c>
      <c r="B10" s="6" t="s">
        <v>83</v>
      </c>
      <c r="C10" s="6" t="s">
        <v>64</v>
      </c>
      <c r="D10" s="6" t="s">
        <v>64</v>
      </c>
      <c r="E10" s="6" t="s">
        <v>447</v>
      </c>
      <c r="F10" s="6" t="s">
        <v>448</v>
      </c>
      <c r="G10" s="6" t="s">
        <v>449</v>
      </c>
    </row>
    <row r="11" spans="1:7" ht="27.75" x14ac:dyDescent="0.2">
      <c r="A11" s="5" t="s">
        <v>84</v>
      </c>
      <c r="B11" s="5" t="s">
        <v>86</v>
      </c>
      <c r="C11" s="5" t="s">
        <v>64</v>
      </c>
      <c r="D11" s="5" t="s">
        <v>64</v>
      </c>
      <c r="E11" s="5" t="s">
        <v>447</v>
      </c>
      <c r="F11" s="5" t="s">
        <v>448</v>
      </c>
      <c r="G11" s="5" t="s">
        <v>449</v>
      </c>
    </row>
  </sheetData>
  <mergeCells count="2">
    <mergeCell ref="A2:G2"/>
    <mergeCell ref="A1:G1"/>
  </mergeCells>
  <pageMargins left="0.75" right="0.75" top="1" bottom="1" header="0.5" footer="0.5"/>
  <pageSetup fitToHeight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53"/>
  <sheetViews>
    <sheetView showGridLines="0" zoomScale="85" workbookViewId="0">
      <pane ySplit="4" topLeftCell="A5" activePane="bottomLeft" state="frozen"/>
      <selection pane="bottomLeft"/>
    </sheetView>
  </sheetViews>
  <sheetFormatPr defaultRowHeight="15" x14ac:dyDescent="0.2"/>
  <cols>
    <col min="1" max="1" width="39.01171875" customWidth="1"/>
    <col min="2" max="2" width="27.98046875" customWidth="1"/>
    <col min="3" max="3" width="18.0234375" customWidth="1"/>
    <col min="4" max="4" width="43.98828125" customWidth="1"/>
    <col min="5" max="5" width="34.97265625" customWidth="1"/>
  </cols>
  <sheetData>
    <row r="1" spans="1:5" ht="30" customHeight="1" x14ac:dyDescent="0.2">
      <c r="A1" s="12" t="s">
        <v>450</v>
      </c>
      <c r="B1" s="10"/>
      <c r="C1" s="10"/>
      <c r="D1" s="10"/>
      <c r="E1" s="10"/>
    </row>
    <row r="2" spans="1:5" ht="32.1" customHeight="1" x14ac:dyDescent="0.2">
      <c r="A2" s="11" t="s">
        <v>451</v>
      </c>
      <c r="B2" s="10"/>
      <c r="C2" s="10"/>
      <c r="D2" s="10"/>
      <c r="E2" s="10"/>
    </row>
    <row r="4" spans="1:5" x14ac:dyDescent="0.2">
      <c r="A4" s="4" t="s">
        <v>91</v>
      </c>
      <c r="B4" s="4" t="s">
        <v>452</v>
      </c>
      <c r="C4" s="4" t="s">
        <v>453</v>
      </c>
      <c r="D4" s="4" t="s">
        <v>454</v>
      </c>
      <c r="E4" s="4" t="s">
        <v>58</v>
      </c>
    </row>
    <row r="5" spans="1:5" x14ac:dyDescent="0.2">
      <c r="A5" s="5" t="s">
        <v>59</v>
      </c>
      <c r="B5" s="5" t="s">
        <v>455</v>
      </c>
      <c r="C5" s="5" t="s">
        <v>398</v>
      </c>
      <c r="D5" s="5" t="s">
        <v>456</v>
      </c>
      <c r="E5" s="5" t="s">
        <v>457</v>
      </c>
    </row>
    <row r="6" spans="1:5" x14ac:dyDescent="0.2">
      <c r="A6" s="6" t="s">
        <v>59</v>
      </c>
      <c r="B6" s="6" t="s">
        <v>458</v>
      </c>
      <c r="C6" s="6" t="s">
        <v>398</v>
      </c>
      <c r="D6" s="6" t="s">
        <v>456</v>
      </c>
      <c r="E6" s="6" t="s">
        <v>457</v>
      </c>
    </row>
    <row r="7" spans="1:5" x14ac:dyDescent="0.2">
      <c r="A7" s="5" t="s">
        <v>59</v>
      </c>
      <c r="B7" s="5" t="s">
        <v>459</v>
      </c>
      <c r="C7" s="5" t="s">
        <v>403</v>
      </c>
      <c r="D7" s="5" t="s">
        <v>456</v>
      </c>
      <c r="E7" s="5" t="s">
        <v>457</v>
      </c>
    </row>
    <row r="8" spans="1:5" x14ac:dyDescent="0.2">
      <c r="A8" s="6" t="s">
        <v>59</v>
      </c>
      <c r="B8" s="6" t="s">
        <v>460</v>
      </c>
      <c r="C8" s="6" t="s">
        <v>461</v>
      </c>
      <c r="D8" s="6" t="s">
        <v>456</v>
      </c>
      <c r="E8" s="6" t="s">
        <v>457</v>
      </c>
    </row>
    <row r="9" spans="1:5" x14ac:dyDescent="0.2">
      <c r="A9" s="5" t="s">
        <v>59</v>
      </c>
      <c r="B9" s="5" t="s">
        <v>462</v>
      </c>
      <c r="C9" s="5" t="s">
        <v>398</v>
      </c>
      <c r="D9" s="5" t="s">
        <v>456</v>
      </c>
      <c r="E9" s="5" t="s">
        <v>457</v>
      </c>
    </row>
    <row r="10" spans="1:5" x14ac:dyDescent="0.2">
      <c r="A10" s="6" t="s">
        <v>59</v>
      </c>
      <c r="B10" s="6" t="s">
        <v>463</v>
      </c>
      <c r="C10" s="6" t="s">
        <v>398</v>
      </c>
      <c r="D10" s="6" t="s">
        <v>456</v>
      </c>
      <c r="E10" s="6" t="s">
        <v>457</v>
      </c>
    </row>
    <row r="11" spans="1:5" x14ac:dyDescent="0.2">
      <c r="A11" s="5" t="s">
        <v>59</v>
      </c>
      <c r="B11" s="5" t="s">
        <v>464</v>
      </c>
      <c r="C11" s="5" t="s">
        <v>398</v>
      </c>
      <c r="D11" s="5" t="s">
        <v>456</v>
      </c>
      <c r="E11" s="5" t="s">
        <v>457</v>
      </c>
    </row>
    <row r="12" spans="1:5" x14ac:dyDescent="0.2">
      <c r="A12" s="6" t="s">
        <v>66</v>
      </c>
      <c r="B12" s="6" t="s">
        <v>455</v>
      </c>
      <c r="C12" s="6" t="s">
        <v>398</v>
      </c>
      <c r="D12" s="6" t="s">
        <v>456</v>
      </c>
      <c r="E12" s="6" t="s">
        <v>457</v>
      </c>
    </row>
    <row r="13" spans="1:5" x14ac:dyDescent="0.2">
      <c r="A13" s="5" t="s">
        <v>66</v>
      </c>
      <c r="B13" s="5" t="s">
        <v>458</v>
      </c>
      <c r="C13" s="5" t="s">
        <v>398</v>
      </c>
      <c r="D13" s="5" t="s">
        <v>456</v>
      </c>
      <c r="E13" s="5" t="s">
        <v>457</v>
      </c>
    </row>
    <row r="14" spans="1:5" x14ac:dyDescent="0.2">
      <c r="A14" s="6" t="s">
        <v>66</v>
      </c>
      <c r="B14" s="6" t="s">
        <v>459</v>
      </c>
      <c r="C14" s="6" t="s">
        <v>403</v>
      </c>
      <c r="D14" s="6" t="s">
        <v>456</v>
      </c>
      <c r="E14" s="6" t="s">
        <v>457</v>
      </c>
    </row>
    <row r="15" spans="1:5" x14ac:dyDescent="0.2">
      <c r="A15" s="5" t="s">
        <v>66</v>
      </c>
      <c r="B15" s="5" t="s">
        <v>460</v>
      </c>
      <c r="C15" s="5" t="s">
        <v>461</v>
      </c>
      <c r="D15" s="5" t="s">
        <v>456</v>
      </c>
      <c r="E15" s="5" t="s">
        <v>457</v>
      </c>
    </row>
    <row r="16" spans="1:5" x14ac:dyDescent="0.2">
      <c r="A16" s="6" t="s">
        <v>66</v>
      </c>
      <c r="B16" s="6" t="s">
        <v>462</v>
      </c>
      <c r="C16" s="6" t="s">
        <v>398</v>
      </c>
      <c r="D16" s="6" t="s">
        <v>456</v>
      </c>
      <c r="E16" s="6" t="s">
        <v>457</v>
      </c>
    </row>
    <row r="17" spans="1:5" x14ac:dyDescent="0.2">
      <c r="A17" s="5" t="s">
        <v>66</v>
      </c>
      <c r="B17" s="5" t="s">
        <v>463</v>
      </c>
      <c r="C17" s="5" t="s">
        <v>398</v>
      </c>
      <c r="D17" s="5" t="s">
        <v>456</v>
      </c>
      <c r="E17" s="5" t="s">
        <v>457</v>
      </c>
    </row>
    <row r="18" spans="1:5" x14ac:dyDescent="0.2">
      <c r="A18" s="6" t="s">
        <v>66</v>
      </c>
      <c r="B18" s="6" t="s">
        <v>464</v>
      </c>
      <c r="C18" s="6" t="s">
        <v>398</v>
      </c>
      <c r="D18" s="6" t="s">
        <v>456</v>
      </c>
      <c r="E18" s="6" t="s">
        <v>457</v>
      </c>
    </row>
    <row r="19" spans="1:5" x14ac:dyDescent="0.2">
      <c r="A19" s="5" t="s">
        <v>70</v>
      </c>
      <c r="B19" s="5" t="s">
        <v>455</v>
      </c>
      <c r="C19" s="5" t="s">
        <v>398</v>
      </c>
      <c r="D19" s="5" t="s">
        <v>456</v>
      </c>
      <c r="E19" s="5" t="s">
        <v>457</v>
      </c>
    </row>
    <row r="20" spans="1:5" x14ac:dyDescent="0.2">
      <c r="A20" s="6" t="s">
        <v>70</v>
      </c>
      <c r="B20" s="6" t="s">
        <v>458</v>
      </c>
      <c r="C20" s="6" t="s">
        <v>398</v>
      </c>
      <c r="D20" s="6" t="s">
        <v>456</v>
      </c>
      <c r="E20" s="6" t="s">
        <v>457</v>
      </c>
    </row>
    <row r="21" spans="1:5" x14ac:dyDescent="0.2">
      <c r="A21" s="5" t="s">
        <v>70</v>
      </c>
      <c r="B21" s="5" t="s">
        <v>459</v>
      </c>
      <c r="C21" s="5" t="s">
        <v>403</v>
      </c>
      <c r="D21" s="5" t="s">
        <v>456</v>
      </c>
      <c r="E21" s="5" t="s">
        <v>457</v>
      </c>
    </row>
    <row r="22" spans="1:5" x14ac:dyDescent="0.2">
      <c r="A22" s="6" t="s">
        <v>70</v>
      </c>
      <c r="B22" s="6" t="s">
        <v>460</v>
      </c>
      <c r="C22" s="6" t="s">
        <v>461</v>
      </c>
      <c r="D22" s="6" t="s">
        <v>456</v>
      </c>
      <c r="E22" s="6" t="s">
        <v>457</v>
      </c>
    </row>
    <row r="23" spans="1:5" x14ac:dyDescent="0.2">
      <c r="A23" s="5" t="s">
        <v>70</v>
      </c>
      <c r="B23" s="5" t="s">
        <v>462</v>
      </c>
      <c r="C23" s="5" t="s">
        <v>398</v>
      </c>
      <c r="D23" s="5" t="s">
        <v>456</v>
      </c>
      <c r="E23" s="5" t="s">
        <v>457</v>
      </c>
    </row>
    <row r="24" spans="1:5" x14ac:dyDescent="0.2">
      <c r="A24" s="6" t="s">
        <v>70</v>
      </c>
      <c r="B24" s="6" t="s">
        <v>463</v>
      </c>
      <c r="C24" s="6" t="s">
        <v>398</v>
      </c>
      <c r="D24" s="6" t="s">
        <v>456</v>
      </c>
      <c r="E24" s="6" t="s">
        <v>457</v>
      </c>
    </row>
    <row r="25" spans="1:5" x14ac:dyDescent="0.2">
      <c r="A25" s="5" t="s">
        <v>70</v>
      </c>
      <c r="B25" s="5" t="s">
        <v>464</v>
      </c>
      <c r="C25" s="5" t="s">
        <v>398</v>
      </c>
      <c r="D25" s="5" t="s">
        <v>456</v>
      </c>
      <c r="E25" s="5" t="s">
        <v>457</v>
      </c>
    </row>
    <row r="26" spans="1:5" x14ac:dyDescent="0.2">
      <c r="A26" s="6" t="s">
        <v>74</v>
      </c>
      <c r="B26" s="6" t="s">
        <v>455</v>
      </c>
      <c r="C26" s="6" t="s">
        <v>398</v>
      </c>
      <c r="D26" s="6" t="s">
        <v>456</v>
      </c>
      <c r="E26" s="6" t="s">
        <v>457</v>
      </c>
    </row>
    <row r="27" spans="1:5" x14ac:dyDescent="0.2">
      <c r="A27" s="5" t="s">
        <v>74</v>
      </c>
      <c r="B27" s="5" t="s">
        <v>458</v>
      </c>
      <c r="C27" s="5" t="s">
        <v>398</v>
      </c>
      <c r="D27" s="5" t="s">
        <v>456</v>
      </c>
      <c r="E27" s="5" t="s">
        <v>457</v>
      </c>
    </row>
    <row r="28" spans="1:5" x14ac:dyDescent="0.2">
      <c r="A28" s="6" t="s">
        <v>74</v>
      </c>
      <c r="B28" s="6" t="s">
        <v>459</v>
      </c>
      <c r="C28" s="6" t="s">
        <v>403</v>
      </c>
      <c r="D28" s="6" t="s">
        <v>456</v>
      </c>
      <c r="E28" s="6" t="s">
        <v>457</v>
      </c>
    </row>
    <row r="29" spans="1:5" x14ac:dyDescent="0.2">
      <c r="A29" s="5" t="s">
        <v>74</v>
      </c>
      <c r="B29" s="5" t="s">
        <v>460</v>
      </c>
      <c r="C29" s="5" t="s">
        <v>461</v>
      </c>
      <c r="D29" s="5" t="s">
        <v>456</v>
      </c>
      <c r="E29" s="5" t="s">
        <v>457</v>
      </c>
    </row>
    <row r="30" spans="1:5" x14ac:dyDescent="0.2">
      <c r="A30" s="6" t="s">
        <v>74</v>
      </c>
      <c r="B30" s="6" t="s">
        <v>462</v>
      </c>
      <c r="C30" s="6" t="s">
        <v>398</v>
      </c>
      <c r="D30" s="6" t="s">
        <v>456</v>
      </c>
      <c r="E30" s="6" t="s">
        <v>457</v>
      </c>
    </row>
    <row r="31" spans="1:5" x14ac:dyDescent="0.2">
      <c r="A31" s="5" t="s">
        <v>74</v>
      </c>
      <c r="B31" s="5" t="s">
        <v>463</v>
      </c>
      <c r="C31" s="5" t="s">
        <v>398</v>
      </c>
      <c r="D31" s="5" t="s">
        <v>456</v>
      </c>
      <c r="E31" s="5" t="s">
        <v>457</v>
      </c>
    </row>
    <row r="32" spans="1:5" x14ac:dyDescent="0.2">
      <c r="A32" s="6" t="s">
        <v>74</v>
      </c>
      <c r="B32" s="6" t="s">
        <v>464</v>
      </c>
      <c r="C32" s="6" t="s">
        <v>398</v>
      </c>
      <c r="D32" s="6" t="s">
        <v>456</v>
      </c>
      <c r="E32" s="6" t="s">
        <v>457</v>
      </c>
    </row>
    <row r="33" spans="1:5" x14ac:dyDescent="0.2">
      <c r="A33" s="5" t="s">
        <v>77</v>
      </c>
      <c r="B33" s="5" t="s">
        <v>455</v>
      </c>
      <c r="C33" s="5" t="s">
        <v>398</v>
      </c>
      <c r="D33" s="5" t="s">
        <v>456</v>
      </c>
      <c r="E33" s="5" t="s">
        <v>457</v>
      </c>
    </row>
    <row r="34" spans="1:5" x14ac:dyDescent="0.2">
      <c r="A34" s="6" t="s">
        <v>77</v>
      </c>
      <c r="B34" s="6" t="s">
        <v>458</v>
      </c>
      <c r="C34" s="6" t="s">
        <v>398</v>
      </c>
      <c r="D34" s="6" t="s">
        <v>456</v>
      </c>
      <c r="E34" s="6" t="s">
        <v>457</v>
      </c>
    </row>
    <row r="35" spans="1:5" x14ac:dyDescent="0.2">
      <c r="A35" s="5" t="s">
        <v>77</v>
      </c>
      <c r="B35" s="5" t="s">
        <v>459</v>
      </c>
      <c r="C35" s="5" t="s">
        <v>403</v>
      </c>
      <c r="D35" s="5" t="s">
        <v>456</v>
      </c>
      <c r="E35" s="5" t="s">
        <v>457</v>
      </c>
    </row>
    <row r="36" spans="1:5" x14ac:dyDescent="0.2">
      <c r="A36" s="6" t="s">
        <v>77</v>
      </c>
      <c r="B36" s="6" t="s">
        <v>460</v>
      </c>
      <c r="C36" s="6" t="s">
        <v>461</v>
      </c>
      <c r="D36" s="6" t="s">
        <v>456</v>
      </c>
      <c r="E36" s="6" t="s">
        <v>457</v>
      </c>
    </row>
    <row r="37" spans="1:5" x14ac:dyDescent="0.2">
      <c r="A37" s="5" t="s">
        <v>77</v>
      </c>
      <c r="B37" s="5" t="s">
        <v>462</v>
      </c>
      <c r="C37" s="5" t="s">
        <v>398</v>
      </c>
      <c r="D37" s="5" t="s">
        <v>456</v>
      </c>
      <c r="E37" s="5" t="s">
        <v>457</v>
      </c>
    </row>
    <row r="38" spans="1:5" x14ac:dyDescent="0.2">
      <c r="A38" s="6" t="s">
        <v>77</v>
      </c>
      <c r="B38" s="6" t="s">
        <v>463</v>
      </c>
      <c r="C38" s="6" t="s">
        <v>398</v>
      </c>
      <c r="D38" s="6" t="s">
        <v>456</v>
      </c>
      <c r="E38" s="6" t="s">
        <v>457</v>
      </c>
    </row>
    <row r="39" spans="1:5" x14ac:dyDescent="0.2">
      <c r="A39" s="5" t="s">
        <v>77</v>
      </c>
      <c r="B39" s="5" t="s">
        <v>464</v>
      </c>
      <c r="C39" s="5" t="s">
        <v>398</v>
      </c>
      <c r="D39" s="5" t="s">
        <v>456</v>
      </c>
      <c r="E39" s="5" t="s">
        <v>457</v>
      </c>
    </row>
    <row r="40" spans="1:5" x14ac:dyDescent="0.2">
      <c r="A40" s="6" t="s">
        <v>81</v>
      </c>
      <c r="B40" s="6" t="s">
        <v>455</v>
      </c>
      <c r="C40" s="6" t="s">
        <v>398</v>
      </c>
      <c r="D40" s="6" t="s">
        <v>456</v>
      </c>
      <c r="E40" s="6" t="s">
        <v>457</v>
      </c>
    </row>
    <row r="41" spans="1:5" x14ac:dyDescent="0.2">
      <c r="A41" s="5" t="s">
        <v>81</v>
      </c>
      <c r="B41" s="5" t="s">
        <v>458</v>
      </c>
      <c r="C41" s="5" t="s">
        <v>398</v>
      </c>
      <c r="D41" s="5" t="s">
        <v>456</v>
      </c>
      <c r="E41" s="5" t="s">
        <v>457</v>
      </c>
    </row>
    <row r="42" spans="1:5" x14ac:dyDescent="0.2">
      <c r="A42" s="6" t="s">
        <v>81</v>
      </c>
      <c r="B42" s="6" t="s">
        <v>459</v>
      </c>
      <c r="C42" s="6" t="s">
        <v>403</v>
      </c>
      <c r="D42" s="6" t="s">
        <v>456</v>
      </c>
      <c r="E42" s="6" t="s">
        <v>457</v>
      </c>
    </row>
    <row r="43" spans="1:5" x14ac:dyDescent="0.2">
      <c r="A43" s="5" t="s">
        <v>81</v>
      </c>
      <c r="B43" s="5" t="s">
        <v>460</v>
      </c>
      <c r="C43" s="5" t="s">
        <v>461</v>
      </c>
      <c r="D43" s="5" t="s">
        <v>456</v>
      </c>
      <c r="E43" s="5" t="s">
        <v>457</v>
      </c>
    </row>
    <row r="44" spans="1:5" x14ac:dyDescent="0.2">
      <c r="A44" s="6" t="s">
        <v>81</v>
      </c>
      <c r="B44" s="6" t="s">
        <v>462</v>
      </c>
      <c r="C44" s="6" t="s">
        <v>398</v>
      </c>
      <c r="D44" s="6" t="s">
        <v>456</v>
      </c>
      <c r="E44" s="6" t="s">
        <v>457</v>
      </c>
    </row>
    <row r="45" spans="1:5" x14ac:dyDescent="0.2">
      <c r="A45" s="5" t="s">
        <v>81</v>
      </c>
      <c r="B45" s="5" t="s">
        <v>463</v>
      </c>
      <c r="C45" s="5" t="s">
        <v>398</v>
      </c>
      <c r="D45" s="5" t="s">
        <v>456</v>
      </c>
      <c r="E45" s="5" t="s">
        <v>457</v>
      </c>
    </row>
    <row r="46" spans="1:5" x14ac:dyDescent="0.2">
      <c r="A46" s="6" t="s">
        <v>81</v>
      </c>
      <c r="B46" s="6" t="s">
        <v>464</v>
      </c>
      <c r="C46" s="6" t="s">
        <v>398</v>
      </c>
      <c r="D46" s="6" t="s">
        <v>456</v>
      </c>
      <c r="E46" s="6" t="s">
        <v>457</v>
      </c>
    </row>
    <row r="47" spans="1:5" x14ac:dyDescent="0.2">
      <c r="A47" s="5" t="s">
        <v>84</v>
      </c>
      <c r="B47" s="5" t="s">
        <v>455</v>
      </c>
      <c r="C47" s="5" t="s">
        <v>398</v>
      </c>
      <c r="D47" s="5" t="s">
        <v>456</v>
      </c>
      <c r="E47" s="5" t="s">
        <v>457</v>
      </c>
    </row>
    <row r="48" spans="1:5" x14ac:dyDescent="0.2">
      <c r="A48" s="6" t="s">
        <v>84</v>
      </c>
      <c r="B48" s="6" t="s">
        <v>458</v>
      </c>
      <c r="C48" s="6" t="s">
        <v>398</v>
      </c>
      <c r="D48" s="6" t="s">
        <v>456</v>
      </c>
      <c r="E48" s="6" t="s">
        <v>457</v>
      </c>
    </row>
    <row r="49" spans="1:5" x14ac:dyDescent="0.2">
      <c r="A49" s="5" t="s">
        <v>84</v>
      </c>
      <c r="B49" s="5" t="s">
        <v>459</v>
      </c>
      <c r="C49" s="5" t="s">
        <v>403</v>
      </c>
      <c r="D49" s="5" t="s">
        <v>456</v>
      </c>
      <c r="E49" s="5" t="s">
        <v>457</v>
      </c>
    </row>
    <row r="50" spans="1:5" x14ac:dyDescent="0.2">
      <c r="A50" s="6" t="s">
        <v>84</v>
      </c>
      <c r="B50" s="6" t="s">
        <v>460</v>
      </c>
      <c r="C50" s="6" t="s">
        <v>461</v>
      </c>
      <c r="D50" s="6" t="s">
        <v>456</v>
      </c>
      <c r="E50" s="6" t="s">
        <v>457</v>
      </c>
    </row>
    <row r="51" spans="1:5" x14ac:dyDescent="0.2">
      <c r="A51" s="5" t="s">
        <v>84</v>
      </c>
      <c r="B51" s="5" t="s">
        <v>462</v>
      </c>
      <c r="C51" s="5" t="s">
        <v>398</v>
      </c>
      <c r="D51" s="5" t="s">
        <v>456</v>
      </c>
      <c r="E51" s="5" t="s">
        <v>457</v>
      </c>
    </row>
    <row r="52" spans="1:5" x14ac:dyDescent="0.2">
      <c r="A52" s="6" t="s">
        <v>84</v>
      </c>
      <c r="B52" s="6" t="s">
        <v>463</v>
      </c>
      <c r="C52" s="6" t="s">
        <v>398</v>
      </c>
      <c r="D52" s="6" t="s">
        <v>456</v>
      </c>
      <c r="E52" s="6" t="s">
        <v>457</v>
      </c>
    </row>
    <row r="53" spans="1:5" x14ac:dyDescent="0.2">
      <c r="A53" s="5" t="s">
        <v>84</v>
      </c>
      <c r="B53" s="5" t="s">
        <v>464</v>
      </c>
      <c r="C53" s="5" t="s">
        <v>398</v>
      </c>
      <c r="D53" s="5" t="s">
        <v>456</v>
      </c>
      <c r="E53" s="5" t="s">
        <v>457</v>
      </c>
    </row>
  </sheetData>
  <mergeCells count="2">
    <mergeCell ref="A2:E2"/>
    <mergeCell ref="A1:E1"/>
  </mergeCells>
  <pageMargins left="0.75" right="0.75" top="1" bottom="1" header="0.5" footer="0.5"/>
  <pageSetup fitToHeight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26"/>
  <sheetViews>
    <sheetView showGridLines="0" zoomScale="85" workbookViewId="0">
      <pane ySplit="4" topLeftCell="A5" activePane="bottomLeft" state="frozen"/>
      <selection pane="bottomLeft"/>
    </sheetView>
  </sheetViews>
  <sheetFormatPr defaultRowHeight="15" x14ac:dyDescent="0.2"/>
  <cols>
    <col min="1" max="1" width="37.93359375" customWidth="1"/>
    <col min="2" max="2" width="22.05859375" customWidth="1"/>
    <col min="3" max="3" width="69.94921875" customWidth="1"/>
    <col min="4" max="4" width="55.01953125" customWidth="1"/>
  </cols>
  <sheetData>
    <row r="1" spans="1:4" ht="30" customHeight="1" x14ac:dyDescent="0.2">
      <c r="A1" s="12" t="s">
        <v>465</v>
      </c>
      <c r="B1" s="10"/>
      <c r="C1" s="10"/>
      <c r="D1" s="10"/>
    </row>
    <row r="2" spans="1:4" ht="32.1" customHeight="1" x14ac:dyDescent="0.2">
      <c r="A2" s="11" t="s">
        <v>466</v>
      </c>
      <c r="B2" s="10"/>
      <c r="C2" s="10"/>
      <c r="D2" s="10"/>
    </row>
    <row r="4" spans="1:4" x14ac:dyDescent="0.2">
      <c r="A4" s="4" t="s">
        <v>467</v>
      </c>
      <c r="B4" s="4" t="s">
        <v>468</v>
      </c>
      <c r="C4" s="4" t="s">
        <v>469</v>
      </c>
      <c r="D4" s="4" t="s">
        <v>470</v>
      </c>
    </row>
    <row r="5" spans="1:4" x14ac:dyDescent="0.2">
      <c r="A5" s="5" t="s">
        <v>29</v>
      </c>
      <c r="B5" s="5" t="s">
        <v>471</v>
      </c>
      <c r="C5" s="5" t="s">
        <v>472</v>
      </c>
      <c r="D5" s="5" t="s">
        <v>473</v>
      </c>
    </row>
    <row r="6" spans="1:4" x14ac:dyDescent="0.2">
      <c r="A6" s="6" t="s">
        <v>474</v>
      </c>
      <c r="B6" s="6" t="s">
        <v>475</v>
      </c>
      <c r="C6" s="6" t="s">
        <v>476</v>
      </c>
      <c r="D6" s="6" t="s">
        <v>477</v>
      </c>
    </row>
    <row r="7" spans="1:4" x14ac:dyDescent="0.2">
      <c r="A7" s="5" t="s">
        <v>32</v>
      </c>
      <c r="B7" s="5" t="s">
        <v>471</v>
      </c>
      <c r="C7" s="5" t="s">
        <v>478</v>
      </c>
      <c r="D7" s="5" t="s">
        <v>479</v>
      </c>
    </row>
    <row r="8" spans="1:4" x14ac:dyDescent="0.2">
      <c r="A8" s="6" t="s">
        <v>480</v>
      </c>
      <c r="B8" s="6" t="s">
        <v>475</v>
      </c>
      <c r="C8" s="6" t="s">
        <v>481</v>
      </c>
      <c r="D8" s="6" t="s">
        <v>477</v>
      </c>
    </row>
    <row r="9" spans="1:4" x14ac:dyDescent="0.2">
      <c r="A9" s="5" t="s">
        <v>38</v>
      </c>
      <c r="B9" s="5" t="s">
        <v>471</v>
      </c>
      <c r="C9" s="5" t="s">
        <v>482</v>
      </c>
      <c r="D9" s="5" t="s">
        <v>483</v>
      </c>
    </row>
    <row r="10" spans="1:4" x14ac:dyDescent="0.2">
      <c r="A10" s="6" t="s">
        <v>484</v>
      </c>
      <c r="B10" s="6" t="s">
        <v>475</v>
      </c>
      <c r="C10" s="6" t="s">
        <v>485</v>
      </c>
      <c r="D10" s="6" t="s">
        <v>477</v>
      </c>
    </row>
    <row r="11" spans="1:4" x14ac:dyDescent="0.2">
      <c r="A11" s="5" t="s">
        <v>41</v>
      </c>
      <c r="B11" s="5" t="s">
        <v>471</v>
      </c>
      <c r="C11" s="5" t="s">
        <v>486</v>
      </c>
      <c r="D11" s="5" t="s">
        <v>487</v>
      </c>
    </row>
    <row r="12" spans="1:4" x14ac:dyDescent="0.2">
      <c r="A12" s="6" t="s">
        <v>488</v>
      </c>
      <c r="B12" s="6" t="s">
        <v>475</v>
      </c>
      <c r="C12" s="6" t="s">
        <v>489</v>
      </c>
      <c r="D12" s="6" t="s">
        <v>477</v>
      </c>
    </row>
    <row r="13" spans="1:4" x14ac:dyDescent="0.2">
      <c r="A13" s="5" t="s">
        <v>35</v>
      </c>
      <c r="B13" s="5" t="s">
        <v>471</v>
      </c>
      <c r="C13" s="5" t="s">
        <v>490</v>
      </c>
      <c r="D13" s="5" t="s">
        <v>491</v>
      </c>
    </row>
    <row r="14" spans="1:4" x14ac:dyDescent="0.2">
      <c r="A14" s="6" t="s">
        <v>492</v>
      </c>
      <c r="B14" s="6" t="s">
        <v>475</v>
      </c>
      <c r="C14" s="6" t="s">
        <v>493</v>
      </c>
      <c r="D14" s="6" t="s">
        <v>477</v>
      </c>
    </row>
    <row r="15" spans="1:4" x14ac:dyDescent="0.2">
      <c r="A15" s="5" t="s">
        <v>494</v>
      </c>
      <c r="B15" s="5" t="s">
        <v>495</v>
      </c>
      <c r="C15" s="5" t="s">
        <v>496</v>
      </c>
      <c r="D15" s="5" t="s">
        <v>497</v>
      </c>
    </row>
    <row r="16" spans="1:4" x14ac:dyDescent="0.2">
      <c r="A16" s="6" t="s">
        <v>498</v>
      </c>
      <c r="B16" s="6" t="s">
        <v>495</v>
      </c>
      <c r="C16" s="6" t="s">
        <v>499</v>
      </c>
      <c r="D16" s="6" t="s">
        <v>500</v>
      </c>
    </row>
    <row r="17" spans="1:4" x14ac:dyDescent="0.2">
      <c r="A17" s="5" t="s">
        <v>501</v>
      </c>
      <c r="B17" s="5" t="s">
        <v>495</v>
      </c>
      <c r="C17" s="5" t="s">
        <v>502</v>
      </c>
      <c r="D17" s="5" t="s">
        <v>503</v>
      </c>
    </row>
    <row r="18" spans="1:4" x14ac:dyDescent="0.2">
      <c r="A18" s="6" t="s">
        <v>504</v>
      </c>
      <c r="B18" s="6" t="s">
        <v>471</v>
      </c>
      <c r="C18" s="6" t="s">
        <v>505</v>
      </c>
      <c r="D18" s="6" t="s">
        <v>506</v>
      </c>
    </row>
    <row r="19" spans="1:4" x14ac:dyDescent="0.2">
      <c r="A19" s="5" t="s">
        <v>507</v>
      </c>
      <c r="B19" s="5" t="s">
        <v>508</v>
      </c>
      <c r="C19" s="5" t="s">
        <v>509</v>
      </c>
      <c r="D19" s="5" t="s">
        <v>510</v>
      </c>
    </row>
    <row r="20" spans="1:4" x14ac:dyDescent="0.2">
      <c r="A20" s="6" t="s">
        <v>511</v>
      </c>
      <c r="B20" s="6" t="s">
        <v>508</v>
      </c>
      <c r="C20" s="6" t="s">
        <v>512</v>
      </c>
      <c r="D20" s="6" t="s">
        <v>513</v>
      </c>
    </row>
    <row r="21" spans="1:4" x14ac:dyDescent="0.2">
      <c r="A21" s="5" t="s">
        <v>514</v>
      </c>
      <c r="B21" s="5" t="s">
        <v>508</v>
      </c>
      <c r="C21" s="5" t="s">
        <v>515</v>
      </c>
      <c r="D21" s="5" t="s">
        <v>516</v>
      </c>
    </row>
    <row r="22" spans="1:4" x14ac:dyDescent="0.2">
      <c r="A22" s="6" t="s">
        <v>517</v>
      </c>
      <c r="B22" s="6" t="s">
        <v>508</v>
      </c>
      <c r="C22" s="6" t="s">
        <v>518</v>
      </c>
      <c r="D22" s="6" t="s">
        <v>519</v>
      </c>
    </row>
    <row r="23" spans="1:4" x14ac:dyDescent="0.2">
      <c r="A23" s="5" t="s">
        <v>520</v>
      </c>
      <c r="B23" s="5" t="s">
        <v>471</v>
      </c>
      <c r="C23" s="5" t="s">
        <v>521</v>
      </c>
      <c r="D23" s="5" t="s">
        <v>522</v>
      </c>
    </row>
    <row r="24" spans="1:4" x14ac:dyDescent="0.2">
      <c r="A24" s="6" t="s">
        <v>523</v>
      </c>
      <c r="B24" s="6" t="s">
        <v>471</v>
      </c>
      <c r="C24" s="6" t="s">
        <v>524</v>
      </c>
      <c r="D24" s="6" t="s">
        <v>525</v>
      </c>
    </row>
    <row r="25" spans="1:4" x14ac:dyDescent="0.2">
      <c r="A25" s="5" t="s">
        <v>526</v>
      </c>
      <c r="B25" s="5" t="s">
        <v>527</v>
      </c>
      <c r="C25" s="5" t="s">
        <v>528</v>
      </c>
      <c r="D25" s="5" t="s">
        <v>529</v>
      </c>
    </row>
    <row r="26" spans="1:4" x14ac:dyDescent="0.2">
      <c r="A26" s="6" t="s">
        <v>530</v>
      </c>
      <c r="B26" s="6" t="s">
        <v>531</v>
      </c>
      <c r="C26" s="6" t="s">
        <v>532</v>
      </c>
      <c r="D26" s="6" t="s">
        <v>533</v>
      </c>
    </row>
  </sheetData>
  <mergeCells count="2">
    <mergeCell ref="A1:D1"/>
    <mergeCell ref="A2:D2"/>
  </mergeCells>
  <pageMargins left="0.75" right="0.75" top="1" bottom="1" header="0.5" footer="0.5"/>
  <pageSetup fitToHeight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19"/>
  <sheetViews>
    <sheetView showGridLines="0" zoomScale="85" workbookViewId="0">
      <pane ySplit="4" topLeftCell="A5" activePane="bottomLeft" state="frozen"/>
      <selection pane="bottomLeft"/>
    </sheetView>
  </sheetViews>
  <sheetFormatPr defaultRowHeight="15" x14ac:dyDescent="0.2"/>
  <cols>
    <col min="1" max="1" width="25.9609375" customWidth="1"/>
    <col min="2" max="2" width="18.0234375" customWidth="1"/>
    <col min="3" max="3" width="99.94921875" customWidth="1"/>
    <col min="4" max="4" width="55.01953125" customWidth="1"/>
    <col min="5" max="5" width="85.015625" customWidth="1"/>
  </cols>
  <sheetData>
    <row r="1" spans="1:5" ht="30" customHeight="1" x14ac:dyDescent="0.2">
      <c r="A1" s="12" t="s">
        <v>534</v>
      </c>
      <c r="B1" s="10"/>
      <c r="C1" s="10"/>
      <c r="D1" s="10"/>
      <c r="E1" s="10"/>
    </row>
    <row r="2" spans="1:5" ht="32.1" customHeight="1" x14ac:dyDescent="0.2">
      <c r="A2" s="11" t="s">
        <v>535</v>
      </c>
      <c r="B2" s="10"/>
      <c r="C2" s="10"/>
      <c r="D2" s="10"/>
      <c r="E2" s="10"/>
    </row>
    <row r="4" spans="1:5" x14ac:dyDescent="0.2">
      <c r="A4" s="4" t="s">
        <v>536</v>
      </c>
      <c r="B4" s="4" t="s">
        <v>141</v>
      </c>
      <c r="C4" s="4" t="s">
        <v>537</v>
      </c>
      <c r="D4" s="4" t="s">
        <v>538</v>
      </c>
      <c r="E4" s="4" t="s">
        <v>539</v>
      </c>
    </row>
    <row r="5" spans="1:5" x14ac:dyDescent="0.2">
      <c r="A5" s="5" t="s">
        <v>540</v>
      </c>
      <c r="B5" s="5" t="s">
        <v>541</v>
      </c>
      <c r="C5" s="5" t="s">
        <v>542</v>
      </c>
      <c r="D5" s="5" t="s">
        <v>543</v>
      </c>
      <c r="E5" s="5" t="s">
        <v>544</v>
      </c>
    </row>
    <row r="6" spans="1:5" x14ac:dyDescent="0.2">
      <c r="A6" s="6" t="s">
        <v>545</v>
      </c>
      <c r="B6" s="6" t="s">
        <v>546</v>
      </c>
      <c r="C6" s="6" t="s">
        <v>547</v>
      </c>
      <c r="D6" s="6" t="s">
        <v>548</v>
      </c>
      <c r="E6" s="6" t="s">
        <v>549</v>
      </c>
    </row>
    <row r="7" spans="1:5" ht="27.75" x14ac:dyDescent="0.2">
      <c r="A7" s="5" t="s">
        <v>550</v>
      </c>
      <c r="B7" s="5" t="s">
        <v>551</v>
      </c>
      <c r="C7" s="5" t="s">
        <v>552</v>
      </c>
      <c r="D7" s="5" t="s">
        <v>553</v>
      </c>
      <c r="E7" s="5" t="s">
        <v>554</v>
      </c>
    </row>
    <row r="8" spans="1:5" x14ac:dyDescent="0.2">
      <c r="A8" s="6" t="s">
        <v>555</v>
      </c>
      <c r="B8" s="6" t="s">
        <v>551</v>
      </c>
      <c r="C8" s="6" t="s">
        <v>556</v>
      </c>
      <c r="D8" s="6" t="s">
        <v>553</v>
      </c>
      <c r="E8" s="6" t="s">
        <v>557</v>
      </c>
    </row>
    <row r="9" spans="1:5" ht="27.75" x14ac:dyDescent="0.2">
      <c r="A9" s="5" t="s">
        <v>558</v>
      </c>
      <c r="B9" s="5" t="s">
        <v>541</v>
      </c>
      <c r="C9" s="5" t="s">
        <v>559</v>
      </c>
      <c r="D9" s="5" t="s">
        <v>560</v>
      </c>
      <c r="E9" s="5" t="s">
        <v>544</v>
      </c>
    </row>
    <row r="10" spans="1:5" x14ac:dyDescent="0.2">
      <c r="A10" s="6" t="s">
        <v>561</v>
      </c>
      <c r="B10" s="6" t="s">
        <v>546</v>
      </c>
      <c r="C10" s="6" t="s">
        <v>562</v>
      </c>
      <c r="D10" s="6" t="s">
        <v>563</v>
      </c>
      <c r="E10" s="6" t="s">
        <v>564</v>
      </c>
    </row>
    <row r="11" spans="1:5" x14ac:dyDescent="0.2">
      <c r="A11" s="5" t="s">
        <v>565</v>
      </c>
      <c r="B11" s="5" t="s">
        <v>541</v>
      </c>
      <c r="C11" s="5" t="s">
        <v>566</v>
      </c>
      <c r="D11" s="5" t="s">
        <v>560</v>
      </c>
      <c r="E11" s="5" t="s">
        <v>544</v>
      </c>
    </row>
    <row r="12" spans="1:5" x14ac:dyDescent="0.2">
      <c r="A12" s="6" t="s">
        <v>567</v>
      </c>
      <c r="B12" s="6" t="s">
        <v>541</v>
      </c>
      <c r="C12" s="6" t="s">
        <v>568</v>
      </c>
      <c r="D12" s="6" t="s">
        <v>560</v>
      </c>
      <c r="E12" s="6" t="s">
        <v>544</v>
      </c>
    </row>
    <row r="13" spans="1:5" x14ac:dyDescent="0.2">
      <c r="A13" s="5" t="s">
        <v>569</v>
      </c>
      <c r="B13" s="5" t="s">
        <v>546</v>
      </c>
      <c r="C13" s="5" t="s">
        <v>570</v>
      </c>
      <c r="D13" s="5" t="s">
        <v>563</v>
      </c>
      <c r="E13" s="5" t="s">
        <v>571</v>
      </c>
    </row>
    <row r="14" spans="1:5" x14ac:dyDescent="0.2">
      <c r="A14" s="6" t="s">
        <v>572</v>
      </c>
      <c r="B14" s="6" t="s">
        <v>551</v>
      </c>
      <c r="C14" s="6" t="s">
        <v>573</v>
      </c>
      <c r="D14" s="6" t="s">
        <v>553</v>
      </c>
      <c r="E14" s="6" t="s">
        <v>571</v>
      </c>
    </row>
    <row r="15" spans="1:5" x14ac:dyDescent="0.2">
      <c r="A15" s="5" t="s">
        <v>574</v>
      </c>
      <c r="B15" s="5" t="s">
        <v>541</v>
      </c>
      <c r="C15" s="5" t="s">
        <v>575</v>
      </c>
      <c r="D15" s="5" t="s">
        <v>560</v>
      </c>
      <c r="E15" s="5" t="s">
        <v>544</v>
      </c>
    </row>
    <row r="16" spans="1:5" x14ac:dyDescent="0.2">
      <c r="A16" s="6" t="s">
        <v>576</v>
      </c>
      <c r="B16" s="6" t="s">
        <v>546</v>
      </c>
      <c r="C16" s="6" t="s">
        <v>577</v>
      </c>
      <c r="D16" s="6" t="s">
        <v>563</v>
      </c>
      <c r="E16" s="6" t="s">
        <v>578</v>
      </c>
    </row>
    <row r="17" spans="1:5" x14ac:dyDescent="0.2">
      <c r="A17" s="5" t="s">
        <v>579</v>
      </c>
      <c r="B17" s="5" t="s">
        <v>551</v>
      </c>
      <c r="C17" s="5" t="s">
        <v>580</v>
      </c>
      <c r="D17" s="5" t="s">
        <v>553</v>
      </c>
      <c r="E17" s="5" t="s">
        <v>581</v>
      </c>
    </row>
    <row r="18" spans="1:5" x14ac:dyDescent="0.2">
      <c r="A18" s="6" t="s">
        <v>582</v>
      </c>
      <c r="B18" s="6" t="s">
        <v>546</v>
      </c>
      <c r="C18" s="6" t="s">
        <v>583</v>
      </c>
      <c r="D18" s="6" t="s">
        <v>563</v>
      </c>
      <c r="E18" s="6" t="s">
        <v>584</v>
      </c>
    </row>
    <row r="19" spans="1:5" x14ac:dyDescent="0.2">
      <c r="A19" s="5" t="s">
        <v>585</v>
      </c>
      <c r="B19" s="5" t="s">
        <v>546</v>
      </c>
      <c r="C19" s="5" t="s">
        <v>586</v>
      </c>
      <c r="D19" s="5" t="s">
        <v>563</v>
      </c>
      <c r="E19" s="5" t="s">
        <v>584</v>
      </c>
    </row>
  </sheetData>
  <mergeCells count="2">
    <mergeCell ref="A2:E2"/>
    <mergeCell ref="A1:E1"/>
  </mergeCells>
  <pageMargins left="0.75" right="0.75" top="1" bottom="1" header="0.5" footer="0.5"/>
  <pageSetup fitToHeight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16"/>
  <sheetViews>
    <sheetView showGridLines="0" zoomScale="85" workbookViewId="0">
      <pane ySplit="4" topLeftCell="A5" activePane="bottomLeft" state="frozen"/>
      <selection pane="bottomLeft"/>
    </sheetView>
  </sheetViews>
  <sheetFormatPr defaultRowHeight="15" x14ac:dyDescent="0.2"/>
  <cols>
    <col min="1" max="1" width="27.98046875" customWidth="1"/>
    <col min="2" max="2" width="75.0625" customWidth="1"/>
    <col min="3" max="3" width="34.97265625" customWidth="1"/>
  </cols>
  <sheetData>
    <row r="1" spans="1:3" ht="30" customHeight="1" x14ac:dyDescent="0.2">
      <c r="A1" s="12" t="s">
        <v>587</v>
      </c>
      <c r="B1" s="10"/>
      <c r="C1" s="10"/>
    </row>
    <row r="2" spans="1:3" ht="32.1" customHeight="1" x14ac:dyDescent="0.2">
      <c r="A2" s="11" t="s">
        <v>588</v>
      </c>
      <c r="B2" s="10"/>
      <c r="C2" s="10"/>
    </row>
    <row r="4" spans="1:3" x14ac:dyDescent="0.2">
      <c r="A4" s="4" t="s">
        <v>311</v>
      </c>
      <c r="B4" s="4" t="s">
        <v>589</v>
      </c>
      <c r="C4" s="4" t="s">
        <v>590</v>
      </c>
    </row>
    <row r="5" spans="1:3" x14ac:dyDescent="0.2">
      <c r="A5" s="5" t="s">
        <v>591</v>
      </c>
      <c r="B5" s="5" t="s">
        <v>592</v>
      </c>
      <c r="C5" s="5" t="s">
        <v>593</v>
      </c>
    </row>
    <row r="6" spans="1:3" x14ac:dyDescent="0.2">
      <c r="A6" s="6" t="s">
        <v>594</v>
      </c>
      <c r="B6" s="6" t="s">
        <v>595</v>
      </c>
      <c r="C6" s="6" t="s">
        <v>593</v>
      </c>
    </row>
    <row r="7" spans="1:3" x14ac:dyDescent="0.2">
      <c r="A7" s="5" t="s">
        <v>596</v>
      </c>
      <c r="B7" s="5" t="s">
        <v>597</v>
      </c>
      <c r="C7" s="5" t="s">
        <v>593</v>
      </c>
    </row>
    <row r="8" spans="1:3" x14ac:dyDescent="0.2">
      <c r="A8" s="6" t="s">
        <v>598</v>
      </c>
      <c r="B8" s="6" t="s">
        <v>599</v>
      </c>
      <c r="C8" s="6" t="s">
        <v>600</v>
      </c>
    </row>
    <row r="9" spans="1:3" x14ac:dyDescent="0.2">
      <c r="A9" s="5" t="s">
        <v>601</v>
      </c>
      <c r="B9" s="5" t="s">
        <v>602</v>
      </c>
      <c r="C9" s="5" t="s">
        <v>600</v>
      </c>
    </row>
    <row r="10" spans="1:3" x14ac:dyDescent="0.2">
      <c r="A10" s="6" t="s">
        <v>603</v>
      </c>
      <c r="B10" s="6" t="s">
        <v>604</v>
      </c>
      <c r="C10" s="6" t="s">
        <v>600</v>
      </c>
    </row>
    <row r="11" spans="1:3" x14ac:dyDescent="0.2">
      <c r="A11" s="5" t="s">
        <v>605</v>
      </c>
      <c r="B11" s="5" t="s">
        <v>606</v>
      </c>
      <c r="C11" s="5" t="s">
        <v>593</v>
      </c>
    </row>
    <row r="12" spans="1:3" x14ac:dyDescent="0.2">
      <c r="A12" s="6" t="s">
        <v>607</v>
      </c>
      <c r="B12" s="6" t="s">
        <v>608</v>
      </c>
      <c r="C12" s="6" t="s">
        <v>600</v>
      </c>
    </row>
    <row r="13" spans="1:3" x14ac:dyDescent="0.2">
      <c r="A13" s="5" t="s">
        <v>609</v>
      </c>
      <c r="B13" s="5" t="s">
        <v>610</v>
      </c>
      <c r="C13" s="5" t="s">
        <v>593</v>
      </c>
    </row>
    <row r="14" spans="1:3" x14ac:dyDescent="0.2">
      <c r="A14" s="6" t="s">
        <v>611</v>
      </c>
      <c r="B14" s="6" t="s">
        <v>612</v>
      </c>
      <c r="C14" s="6" t="s">
        <v>600</v>
      </c>
    </row>
    <row r="15" spans="1:3" x14ac:dyDescent="0.2">
      <c r="A15" s="5" t="s">
        <v>613</v>
      </c>
      <c r="B15" s="5" t="s">
        <v>614</v>
      </c>
      <c r="C15" s="5" t="s">
        <v>615</v>
      </c>
    </row>
    <row r="16" spans="1:3" x14ac:dyDescent="0.2">
      <c r="A16" s="6" t="s">
        <v>616</v>
      </c>
      <c r="B16" s="6" t="s">
        <v>617</v>
      </c>
      <c r="C16" s="6" t="s">
        <v>618</v>
      </c>
    </row>
  </sheetData>
  <mergeCells count="2">
    <mergeCell ref="A1:C1"/>
    <mergeCell ref="A2:C2"/>
  </mergeCells>
  <pageMargins left="0.75" right="0.75" top="1" bottom="1" header="0.5" footer="0.5"/>
  <pageSetup fitToHeight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30"/>
  <sheetViews>
    <sheetView showGridLines="0" zoomScale="85" workbookViewId="0">
      <pane ySplit="4" topLeftCell="A5" activePane="bottomLeft" state="frozen"/>
      <selection pane="bottomLeft"/>
    </sheetView>
  </sheetViews>
  <sheetFormatPr defaultRowHeight="15" x14ac:dyDescent="0.2"/>
  <cols>
    <col min="1" max="1" width="41.96875" customWidth="1"/>
    <col min="2" max="2" width="85.015625" customWidth="1"/>
    <col min="3" max="3" width="20.04296875" customWidth="1"/>
  </cols>
  <sheetData>
    <row r="1" spans="1:3" ht="30" customHeight="1" x14ac:dyDescent="0.2">
      <c r="A1" s="12" t="s">
        <v>619</v>
      </c>
      <c r="B1" s="10"/>
      <c r="C1" s="10"/>
    </row>
    <row r="2" spans="1:3" ht="32.1" customHeight="1" x14ac:dyDescent="0.2">
      <c r="A2" s="11" t="s">
        <v>620</v>
      </c>
      <c r="B2" s="10"/>
      <c r="C2" s="10"/>
    </row>
    <row r="4" spans="1:3" x14ac:dyDescent="0.2">
      <c r="A4" s="4" t="s">
        <v>621</v>
      </c>
      <c r="B4" s="4" t="s">
        <v>622</v>
      </c>
      <c r="C4" s="4" t="s">
        <v>623</v>
      </c>
    </row>
    <row r="5" spans="1:3" x14ac:dyDescent="0.2">
      <c r="A5" s="5" t="s">
        <v>624</v>
      </c>
      <c r="B5" s="5" t="s">
        <v>625</v>
      </c>
      <c r="C5" s="5" t="s">
        <v>626</v>
      </c>
    </row>
    <row r="6" spans="1:3" x14ac:dyDescent="0.2">
      <c r="A6" s="6" t="s">
        <v>627</v>
      </c>
      <c r="B6" s="6" t="s">
        <v>9</v>
      </c>
      <c r="C6" s="6" t="s">
        <v>626</v>
      </c>
    </row>
    <row r="7" spans="1:3" x14ac:dyDescent="0.2">
      <c r="A7" s="5" t="s">
        <v>628</v>
      </c>
      <c r="B7" s="5" t="s">
        <v>629</v>
      </c>
      <c r="C7" s="5" t="s">
        <v>626</v>
      </c>
    </row>
    <row r="8" spans="1:3" x14ac:dyDescent="0.2">
      <c r="A8" s="6" t="s">
        <v>630</v>
      </c>
      <c r="B8" s="6" t="s">
        <v>631</v>
      </c>
      <c r="C8" s="6" t="s">
        <v>632</v>
      </c>
    </row>
    <row r="9" spans="1:3" x14ac:dyDescent="0.2">
      <c r="A9" s="5" t="s">
        <v>633</v>
      </c>
      <c r="B9" s="5" t="s">
        <v>634</v>
      </c>
      <c r="C9" s="5" t="s">
        <v>632</v>
      </c>
    </row>
    <row r="10" spans="1:3" x14ac:dyDescent="0.2">
      <c r="A10" s="6" t="s">
        <v>635</v>
      </c>
      <c r="B10" s="6" t="s">
        <v>636</v>
      </c>
      <c r="C10" s="6" t="s">
        <v>632</v>
      </c>
    </row>
    <row r="11" spans="1:3" x14ac:dyDescent="0.2">
      <c r="A11" s="5" t="s">
        <v>637</v>
      </c>
      <c r="B11" s="5" t="s">
        <v>638</v>
      </c>
      <c r="C11" s="5" t="s">
        <v>632</v>
      </c>
    </row>
    <row r="12" spans="1:3" x14ac:dyDescent="0.2">
      <c r="A12" s="6" t="s">
        <v>639</v>
      </c>
      <c r="B12" s="6" t="s">
        <v>640</v>
      </c>
      <c r="C12" s="6" t="s">
        <v>632</v>
      </c>
    </row>
    <row r="13" spans="1:3" x14ac:dyDescent="0.2">
      <c r="A13" s="5" t="s">
        <v>641</v>
      </c>
      <c r="B13" s="5" t="s">
        <v>642</v>
      </c>
      <c r="C13" s="5" t="s">
        <v>632</v>
      </c>
    </row>
    <row r="14" spans="1:3" x14ac:dyDescent="0.2">
      <c r="A14" s="6" t="s">
        <v>643</v>
      </c>
      <c r="B14" s="6" t="s">
        <v>644</v>
      </c>
      <c r="C14" s="6" t="s">
        <v>645</v>
      </c>
    </row>
    <row r="15" spans="1:3" x14ac:dyDescent="0.2">
      <c r="A15" s="5" t="s">
        <v>646</v>
      </c>
      <c r="B15" s="5" t="s">
        <v>384</v>
      </c>
      <c r="C15" s="5" t="s">
        <v>626</v>
      </c>
    </row>
    <row r="16" spans="1:3" x14ac:dyDescent="0.2">
      <c r="A16" s="6" t="s">
        <v>647</v>
      </c>
      <c r="B16" s="6" t="s">
        <v>648</v>
      </c>
      <c r="C16" s="6" t="s">
        <v>645</v>
      </c>
    </row>
    <row r="17" spans="1:3" x14ac:dyDescent="0.2">
      <c r="A17" s="5" t="s">
        <v>649</v>
      </c>
      <c r="B17" s="5" t="s">
        <v>412</v>
      </c>
      <c r="C17" s="5" t="s">
        <v>626</v>
      </c>
    </row>
    <row r="18" spans="1:3" x14ac:dyDescent="0.2">
      <c r="A18" s="6" t="s">
        <v>650</v>
      </c>
      <c r="B18" s="6" t="s">
        <v>651</v>
      </c>
      <c r="C18" s="6" t="s">
        <v>645</v>
      </c>
    </row>
    <row r="19" spans="1:3" x14ac:dyDescent="0.2">
      <c r="A19" s="5" t="s">
        <v>652</v>
      </c>
      <c r="B19" s="5" t="s">
        <v>384</v>
      </c>
      <c r="C19" s="5" t="s">
        <v>626</v>
      </c>
    </row>
    <row r="20" spans="1:3" x14ac:dyDescent="0.2">
      <c r="A20" s="6" t="s">
        <v>653</v>
      </c>
      <c r="B20" s="6" t="s">
        <v>654</v>
      </c>
      <c r="C20" s="6" t="s">
        <v>632</v>
      </c>
    </row>
    <row r="21" spans="1:3" x14ac:dyDescent="0.2">
      <c r="A21" s="5" t="s">
        <v>655</v>
      </c>
      <c r="B21" s="5" t="s">
        <v>656</v>
      </c>
      <c r="C21" s="5" t="s">
        <v>626</v>
      </c>
    </row>
    <row r="22" spans="1:3" x14ac:dyDescent="0.2">
      <c r="A22" s="6" t="s">
        <v>657</v>
      </c>
      <c r="B22" s="6" t="s">
        <v>658</v>
      </c>
      <c r="C22" s="6" t="s">
        <v>645</v>
      </c>
    </row>
    <row r="23" spans="1:3" x14ac:dyDescent="0.2">
      <c r="A23" s="5" t="s">
        <v>659</v>
      </c>
      <c r="B23" s="5" t="s">
        <v>384</v>
      </c>
      <c r="C23" s="5" t="s">
        <v>626</v>
      </c>
    </row>
    <row r="24" spans="1:3" x14ac:dyDescent="0.2">
      <c r="A24" s="6" t="s">
        <v>660</v>
      </c>
      <c r="B24" s="6" t="s">
        <v>661</v>
      </c>
      <c r="C24" s="6" t="s">
        <v>645</v>
      </c>
    </row>
    <row r="25" spans="1:3" x14ac:dyDescent="0.2">
      <c r="A25" s="5" t="s">
        <v>662</v>
      </c>
      <c r="B25" s="5" t="s">
        <v>663</v>
      </c>
      <c r="C25" s="5" t="s">
        <v>645</v>
      </c>
    </row>
    <row r="26" spans="1:3" x14ac:dyDescent="0.2">
      <c r="A26" s="6" t="s">
        <v>664</v>
      </c>
      <c r="B26" s="6" t="s">
        <v>665</v>
      </c>
      <c r="C26" s="6" t="s">
        <v>645</v>
      </c>
    </row>
    <row r="27" spans="1:3" x14ac:dyDescent="0.2">
      <c r="A27" s="5" t="s">
        <v>666</v>
      </c>
      <c r="B27" s="5" t="s">
        <v>667</v>
      </c>
      <c r="C27" s="5" t="s">
        <v>645</v>
      </c>
    </row>
    <row r="28" spans="1:3" x14ac:dyDescent="0.2">
      <c r="A28" s="6" t="s">
        <v>668</v>
      </c>
      <c r="B28" s="6" t="s">
        <v>593</v>
      </c>
      <c r="C28" s="6" t="s">
        <v>669</v>
      </c>
    </row>
    <row r="29" spans="1:3" x14ac:dyDescent="0.2">
      <c r="A29" s="5" t="s">
        <v>670</v>
      </c>
      <c r="B29" s="5" t="s">
        <v>600</v>
      </c>
      <c r="C29" s="5" t="s">
        <v>669</v>
      </c>
    </row>
    <row r="30" spans="1:3" x14ac:dyDescent="0.2">
      <c r="A30" s="6" t="s">
        <v>671</v>
      </c>
      <c r="B30" s="6" t="s">
        <v>642</v>
      </c>
      <c r="C30" s="6" t="s">
        <v>632</v>
      </c>
    </row>
  </sheetData>
  <mergeCells count="2">
    <mergeCell ref="A1:C1"/>
    <mergeCell ref="A2:C2"/>
  </mergeCells>
  <pageMargins left="0.75" right="0.75" top="1" bottom="1" header="0.5" footer="0.5"/>
  <pageSetup fitToHeight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C17"/>
  <sheetViews>
    <sheetView showGridLines="0" zoomScale="85" workbookViewId="0">
      <pane ySplit="4" topLeftCell="A5" activePane="bottomLeft" state="frozen"/>
      <selection pane="bottomLeft"/>
    </sheetView>
  </sheetViews>
  <sheetFormatPr defaultRowHeight="15" x14ac:dyDescent="0.2"/>
  <cols>
    <col min="1" max="1" width="27.98046875" customWidth="1"/>
    <col min="2" max="2" width="71.96875" customWidth="1"/>
    <col min="3" max="3" width="78.0234375" customWidth="1"/>
  </cols>
  <sheetData>
    <row r="1" spans="1:3" ht="30" customHeight="1" x14ac:dyDescent="0.2">
      <c r="A1" s="12" t="s">
        <v>672</v>
      </c>
      <c r="B1" s="10"/>
      <c r="C1" s="10"/>
    </row>
    <row r="2" spans="1:3" ht="32.1" customHeight="1" x14ac:dyDescent="0.2">
      <c r="A2" s="11" t="s">
        <v>673</v>
      </c>
      <c r="B2" s="10"/>
      <c r="C2" s="10"/>
    </row>
    <row r="4" spans="1:3" x14ac:dyDescent="0.2">
      <c r="A4" s="4" t="s">
        <v>674</v>
      </c>
      <c r="B4" s="4" t="s">
        <v>675</v>
      </c>
      <c r="C4" s="4" t="s">
        <v>676</v>
      </c>
    </row>
    <row r="5" spans="1:3" x14ac:dyDescent="0.2">
      <c r="A5" s="5" t="s">
        <v>58</v>
      </c>
      <c r="B5" s="5" t="s">
        <v>677</v>
      </c>
      <c r="C5" s="5" t="s">
        <v>678</v>
      </c>
    </row>
    <row r="6" spans="1:3" x14ac:dyDescent="0.2">
      <c r="A6" s="6" t="s">
        <v>679</v>
      </c>
      <c r="B6" s="6" t="s">
        <v>680</v>
      </c>
      <c r="C6" s="6" t="s">
        <v>681</v>
      </c>
    </row>
    <row r="7" spans="1:3" x14ac:dyDescent="0.2">
      <c r="A7" s="5" t="s">
        <v>682</v>
      </c>
      <c r="B7" s="5" t="s">
        <v>683</v>
      </c>
      <c r="C7" s="5" t="s">
        <v>684</v>
      </c>
    </row>
    <row r="8" spans="1:3" x14ac:dyDescent="0.2">
      <c r="A8" s="6" t="s">
        <v>685</v>
      </c>
      <c r="B8" s="6" t="s">
        <v>686</v>
      </c>
      <c r="C8" s="6" t="s">
        <v>687</v>
      </c>
    </row>
    <row r="9" spans="1:3" x14ac:dyDescent="0.2">
      <c r="A9" s="5" t="s">
        <v>688</v>
      </c>
      <c r="B9" s="5" t="s">
        <v>689</v>
      </c>
      <c r="C9" s="5" t="s">
        <v>690</v>
      </c>
    </row>
    <row r="10" spans="1:3" x14ac:dyDescent="0.2">
      <c r="A10" s="6" t="s">
        <v>691</v>
      </c>
      <c r="B10" s="6" t="s">
        <v>692</v>
      </c>
      <c r="C10" s="6" t="s">
        <v>693</v>
      </c>
    </row>
    <row r="11" spans="1:3" x14ac:dyDescent="0.2">
      <c r="A11" s="5" t="s">
        <v>694</v>
      </c>
      <c r="B11" s="5" t="s">
        <v>695</v>
      </c>
      <c r="C11" s="5" t="s">
        <v>696</v>
      </c>
    </row>
    <row r="12" spans="1:3" x14ac:dyDescent="0.2">
      <c r="A12" s="6" t="s">
        <v>697</v>
      </c>
      <c r="B12" s="6" t="s">
        <v>698</v>
      </c>
      <c r="C12" s="6" t="s">
        <v>699</v>
      </c>
    </row>
    <row r="13" spans="1:3" x14ac:dyDescent="0.2">
      <c r="A13" s="5" t="s">
        <v>700</v>
      </c>
      <c r="B13" s="5" t="s">
        <v>701</v>
      </c>
      <c r="C13" s="5" t="s">
        <v>702</v>
      </c>
    </row>
    <row r="14" spans="1:3" x14ac:dyDescent="0.2">
      <c r="A14" s="6" t="s">
        <v>703</v>
      </c>
      <c r="B14" s="6" t="s">
        <v>704</v>
      </c>
      <c r="C14" s="6" t="s">
        <v>705</v>
      </c>
    </row>
    <row r="15" spans="1:3" x14ac:dyDescent="0.2">
      <c r="A15" s="5" t="s">
        <v>706</v>
      </c>
      <c r="B15" s="5" t="s">
        <v>707</v>
      </c>
      <c r="C15" s="5" t="s">
        <v>708</v>
      </c>
    </row>
    <row r="16" spans="1:3" x14ac:dyDescent="0.2">
      <c r="A16" s="6" t="s">
        <v>709</v>
      </c>
      <c r="B16" s="6" t="s">
        <v>710</v>
      </c>
      <c r="C16" s="6" t="s">
        <v>711</v>
      </c>
    </row>
    <row r="17" spans="1:3" x14ac:dyDescent="0.2">
      <c r="A17" s="5" t="s">
        <v>712</v>
      </c>
      <c r="B17" s="5" t="s">
        <v>713</v>
      </c>
      <c r="C17" s="5" t="s">
        <v>714</v>
      </c>
    </row>
  </sheetData>
  <mergeCells count="2">
    <mergeCell ref="A1:C1"/>
    <mergeCell ref="A2:C2"/>
  </mergeCells>
  <pageMargins left="0.75" right="0.75" top="1" bottom="1" header="0.5" footer="0.5"/>
  <pageSetup fitToHeight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26"/>
  <sheetViews>
    <sheetView showGridLines="0" zoomScale="85" workbookViewId="0">
      <pane ySplit="4" topLeftCell="A5" activePane="bottomLeft" state="frozen"/>
      <selection pane="bottomLeft"/>
    </sheetView>
  </sheetViews>
  <sheetFormatPr defaultRowHeight="15" x14ac:dyDescent="0.2"/>
  <cols>
    <col min="1" max="1" width="37.93359375" customWidth="1"/>
    <col min="2" max="2" width="99.94921875" customWidth="1"/>
  </cols>
  <sheetData>
    <row r="1" spans="1:2" ht="30" customHeight="1" x14ac:dyDescent="0.2">
      <c r="A1" s="12" t="s">
        <v>715</v>
      </c>
      <c r="B1" s="10"/>
    </row>
    <row r="2" spans="1:2" ht="32.1" customHeight="1" x14ac:dyDescent="0.2">
      <c r="A2" s="11" t="s">
        <v>716</v>
      </c>
      <c r="B2" s="10"/>
    </row>
    <row r="4" spans="1:2" x14ac:dyDescent="0.2">
      <c r="A4" s="4" t="s">
        <v>452</v>
      </c>
      <c r="B4" s="4" t="s">
        <v>717</v>
      </c>
    </row>
    <row r="5" spans="1:2" x14ac:dyDescent="0.2">
      <c r="A5" s="5" t="s">
        <v>718</v>
      </c>
      <c r="B5" s="5" t="s">
        <v>5</v>
      </c>
    </row>
    <row r="6" spans="1:2" x14ac:dyDescent="0.2">
      <c r="A6" s="6" t="s">
        <v>719</v>
      </c>
      <c r="B6" s="6" t="s">
        <v>720</v>
      </c>
    </row>
    <row r="7" spans="1:2" x14ac:dyDescent="0.2">
      <c r="A7" s="5" t="s">
        <v>721</v>
      </c>
      <c r="B7" s="5" t="s">
        <v>722</v>
      </c>
    </row>
    <row r="8" spans="1:2" x14ac:dyDescent="0.2">
      <c r="A8" s="6" t="s">
        <v>723</v>
      </c>
      <c r="B8" s="6" t="s">
        <v>724</v>
      </c>
    </row>
    <row r="9" spans="1:2" x14ac:dyDescent="0.2">
      <c r="A9" s="5" t="s">
        <v>725</v>
      </c>
      <c r="B9" s="5" t="s">
        <v>726</v>
      </c>
    </row>
    <row r="10" spans="1:2" x14ac:dyDescent="0.2">
      <c r="A10" s="6" t="s">
        <v>727</v>
      </c>
      <c r="B10" s="6" t="s">
        <v>394</v>
      </c>
    </row>
    <row r="11" spans="1:2" x14ac:dyDescent="0.2">
      <c r="A11" s="5" t="s">
        <v>728</v>
      </c>
      <c r="B11" s="5" t="s">
        <v>729</v>
      </c>
    </row>
    <row r="13" spans="1:2" x14ac:dyDescent="0.2">
      <c r="B13" s="7" t="s">
        <v>730</v>
      </c>
    </row>
    <row r="14" spans="1:2" x14ac:dyDescent="0.2">
      <c r="A14" s="8" t="s">
        <v>731</v>
      </c>
    </row>
    <row r="15" spans="1:2" x14ac:dyDescent="0.2">
      <c r="A15" s="8" t="s">
        <v>732</v>
      </c>
    </row>
    <row r="16" spans="1:2" x14ac:dyDescent="0.2">
      <c r="A16" s="8" t="s">
        <v>733</v>
      </c>
    </row>
    <row r="17" spans="1:1" x14ac:dyDescent="0.2">
      <c r="A17" s="8" t="s">
        <v>734</v>
      </c>
    </row>
    <row r="18" spans="1:1" x14ac:dyDescent="0.2">
      <c r="A18" s="8" t="s">
        <v>735</v>
      </c>
    </row>
    <row r="19" spans="1:1" x14ac:dyDescent="0.2">
      <c r="A19" s="8" t="s">
        <v>736</v>
      </c>
    </row>
    <row r="20" spans="1:1" x14ac:dyDescent="0.2">
      <c r="A20" s="8" t="s">
        <v>737</v>
      </c>
    </row>
    <row r="21" spans="1:1" x14ac:dyDescent="0.2">
      <c r="A21" s="8" t="s">
        <v>738</v>
      </c>
    </row>
    <row r="22" spans="1:1" x14ac:dyDescent="0.2">
      <c r="A22" s="8" t="s">
        <v>739</v>
      </c>
    </row>
    <row r="23" spans="1:1" x14ac:dyDescent="0.2">
      <c r="A23" s="8" t="s">
        <v>740</v>
      </c>
    </row>
    <row r="24" spans="1:1" x14ac:dyDescent="0.2">
      <c r="A24" s="8" t="s">
        <v>741</v>
      </c>
    </row>
    <row r="25" spans="1:1" x14ac:dyDescent="0.2">
      <c r="A25" s="8" t="s">
        <v>742</v>
      </c>
    </row>
    <row r="26" spans="1:1" x14ac:dyDescent="0.2">
      <c r="A26" s="8" t="s">
        <v>743</v>
      </c>
    </row>
  </sheetData>
  <mergeCells count="2">
    <mergeCell ref="A2:B2"/>
    <mergeCell ref="A1:B1"/>
  </mergeCells>
  <hyperlinks>
    <hyperlink ref="A14" r:id="rId1" xr:uid="{00000000-0004-0000-0D00-000000000000}"/>
    <hyperlink ref="A15" r:id="rId2" xr:uid="{00000000-0004-0000-0D00-000001000000}"/>
    <hyperlink ref="A16" r:id="rId3" xr:uid="{00000000-0004-0000-0D00-000002000000}"/>
    <hyperlink ref="A17" r:id="rId4" xr:uid="{00000000-0004-0000-0D00-000003000000}"/>
    <hyperlink ref="A18" r:id="rId5" xr:uid="{00000000-0004-0000-0D00-000004000000}"/>
    <hyperlink ref="A19" r:id="rId6" xr:uid="{00000000-0004-0000-0D00-000005000000}"/>
    <hyperlink ref="A20" r:id="rId7" xr:uid="{00000000-0004-0000-0D00-000006000000}"/>
    <hyperlink ref="A21" r:id="rId8" xr:uid="{00000000-0004-0000-0D00-000007000000}"/>
    <hyperlink ref="A22" r:id="rId9" xr:uid="{00000000-0004-0000-0D00-000008000000}"/>
    <hyperlink ref="A23" r:id="rId10" xr:uid="{00000000-0004-0000-0D00-000009000000}"/>
    <hyperlink ref="A24" r:id="rId11" xr:uid="{00000000-0004-0000-0D00-00000A000000}"/>
    <hyperlink ref="A25" r:id="rId12" xr:uid="{00000000-0004-0000-0D00-00000B000000}"/>
    <hyperlink ref="A26" r:id="rId13" xr:uid="{00000000-0004-0000-0D00-00000C000000}"/>
  </hyperlinks>
  <pageMargins left="0.75" right="0.75" top="1" bottom="1" header="0.5" footer="0.5"/>
  <pageSetup fitToHeight="0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00_Read_Me</vt:lpstr>
      <vt:lpstr>01_Overview</vt:lpstr>
      <vt:lpstr>02_Lists</vt:lpstr>
      <vt:lpstr>03_Fields</vt:lpstr>
      <vt:lpstr>04_Config_Seeds</vt:lpstr>
      <vt:lpstr>05_Views</vt:lpstr>
      <vt:lpstr>06_Unique_Keys</vt:lpstr>
      <vt:lpstr>07_List_Settings</vt:lpstr>
      <vt:lpstr>08_Workflow</vt:lpstr>
      <vt:lpstr>09_REST_Parameters</vt:lpstr>
      <vt:lpstr>10_Status_Logging</vt:lpstr>
      <vt:lpstr>11_Final_Report</vt:lpstr>
      <vt:lpstr>12_Risks_Controls</vt:lpstr>
      <vt:lpstr>13_Connections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Kani</dc:creator>
  <cp:lastModifiedBy>Hamza Kani</cp:lastModifiedBy>
  <dcterms:created xsi:type="dcterms:W3CDTF">2026-09-08T01:04:59Z</dcterms:created>
  <dcterms:modified xsi:type="dcterms:W3CDTF">2026-09-08T01:04:59Z</dcterms:modified>
</cp:coreProperties>
</file>